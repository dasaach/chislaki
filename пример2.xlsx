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7104" yWindow="2100" windowWidth="10968" windowHeight="9960"/>
  </bookViews>
  <sheets>
    <sheet name="63" sheetId="3" r:id="rId1"/>
    <sheet name="141" sheetId="5" r:id="rId2"/>
  </sheets>
  <externalReferences>
    <externalReference r:id="rId3"/>
  </externalReferenc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0" i="3" l="1"/>
  <c r="C60" i="3"/>
  <c r="F57" i="3"/>
  <c r="C57" i="3"/>
  <c r="U44" i="5"/>
  <c r="R44" i="5"/>
  <c r="O44" i="5"/>
  <c r="X41" i="5"/>
  <c r="U41" i="5"/>
  <c r="R41" i="5"/>
  <c r="O41" i="5"/>
  <c r="I57" i="3" l="1"/>
  <c r="X44" i="5"/>
  <c r="I60" i="3" l="1"/>
  <c r="L60" i="3" s="1"/>
  <c r="L57" i="3"/>
</calcChain>
</file>

<file path=xl/connections.xml><?xml version="1.0" encoding="utf-8"?>
<connections xmlns="http://schemas.openxmlformats.org/spreadsheetml/2006/main">
  <connection id="1" keepAlive="1" name="Запрос — output" description="Соединение с запросом &quot;output&quot; в книге." type="5" refreshedVersion="0" background="1">
    <dbPr connection="Provider=Microsoft.Mashup.OleDb.1;Data Source=$Workbook$;Location=output;Extended Properties=&quot;&quot;" command="SELECT * FROM [output]"/>
  </connection>
  <connection id="2" keepAlive="1" name="Запрос — output (2)" description="Соединение с запросом &quot;output (2)&quot; в книге." type="5" refreshedVersion="0" background="1">
    <dbPr connection="Provider=Microsoft.Mashup.OleDb.1;Data Source=$Workbook$;Location=&quot;output (2)&quot;;Extended Properties=&quot;&quot;" command="SELECT * FROM [output (2)]"/>
  </connection>
  <connection id="3" keepAlive="1" name="Запрос — output (3)" description="Соединение с запросом &quot;output (3)&quot; в книге." type="5" refreshedVersion="0" background="1">
    <dbPr connection="Provider=Microsoft.Mashup.OleDb.1;Data Source=$Workbook$;Location=&quot;output (3)&quot;;Extended Properties=&quot;&quot;" command="SELECT * FROM [output (3)]"/>
  </connection>
</connections>
</file>

<file path=xl/sharedStrings.xml><?xml version="1.0" encoding="utf-8"?>
<sst xmlns="http://schemas.openxmlformats.org/spreadsheetml/2006/main" count="48" uniqueCount="27">
  <si>
    <t>x</t>
  </si>
  <si>
    <t>y</t>
  </si>
  <si>
    <t>delta</t>
  </si>
  <si>
    <t>delta(h)</t>
  </si>
  <si>
    <t xml:space="preserve">  Исходное уравнение:</t>
  </si>
  <si>
    <t xml:space="preserve">  Точное решение:</t>
  </si>
  <si>
    <t>max delta (при h=0.1)</t>
  </si>
  <si>
    <t>max delta (при h=0.2)</t>
  </si>
  <si>
    <t>Отношение погрешностей</t>
  </si>
  <si>
    <t>средн. delta (при h=0.1)</t>
  </si>
  <si>
    <t>средн. delta (при h=0.2)</t>
  </si>
  <si>
    <t>max delta (при h=0.25)</t>
  </si>
  <si>
    <t>max delta (при h=0.5)</t>
  </si>
  <si>
    <t>средн. delta (при h=0.25)</t>
  </si>
  <si>
    <t>средн. delta (при h=0.5)</t>
  </si>
  <si>
    <t>Численное решение
(h=0.1)</t>
  </si>
  <si>
    <t>Точное решение
(h=0.1)</t>
  </si>
  <si>
    <t>Численное решение
(h=0.2)</t>
  </si>
  <si>
    <t>Точное решение
(h=0.2)</t>
  </si>
  <si>
    <t>u</t>
  </si>
  <si>
    <t>Порядок точности</t>
  </si>
  <si>
    <t>y' - y = 2x - 3</t>
  </si>
  <si>
    <t>Точное решение</t>
  </si>
  <si>
    <t>Исходное ур.</t>
  </si>
  <si>
    <r>
      <t>2x + y - 1 = e</t>
    </r>
    <r>
      <rPr>
        <vertAlign val="superscript"/>
        <sz val="28"/>
        <color theme="1"/>
        <rFont val="Calibri"/>
        <family val="2"/>
        <charset val="204"/>
        <scheme val="minor"/>
      </rPr>
      <t>x</t>
    </r>
  </si>
  <si>
    <t>y = x(y' - xcos(x))</t>
  </si>
  <si>
    <t>y = x(C + sin(x))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</si>
</sst>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00"/>
    <numFmt numFmtId="172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26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vertAlign val="superscript"/>
      <sz val="28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5" borderId="33" xfId="1" applyFont="1" applyFill="1" applyBorder="1"/>
    <xf numFmtId="0" fontId="1" fillId="5" borderId="28" xfId="1" applyFont="1" applyFill="1" applyBorder="1"/>
    <xf numFmtId="0" fontId="1" fillId="0" borderId="28" xfId="1" applyFont="1" applyBorder="1"/>
    <xf numFmtId="0" fontId="2" fillId="0" borderId="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7" fillId="4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5" borderId="30" xfId="0" applyNumberFormat="1" applyFont="1" applyFill="1" applyBorder="1"/>
    <xf numFmtId="0" fontId="0" fillId="0" borderId="30" xfId="0" applyNumberFormat="1" applyFont="1" applyBorder="1"/>
    <xf numFmtId="2" fontId="0" fillId="0" borderId="28" xfId="0" applyNumberFormat="1" applyFont="1" applyBorder="1"/>
    <xf numFmtId="2" fontId="0" fillId="0" borderId="30" xfId="0" applyNumberFormat="1" applyFont="1" applyBorder="1"/>
    <xf numFmtId="2" fontId="0" fillId="5" borderId="28" xfId="0" applyNumberFormat="1" applyFont="1" applyFill="1" applyBorder="1"/>
    <xf numFmtId="2" fontId="0" fillId="5" borderId="30" xfId="0" applyNumberFormat="1" applyFont="1" applyFill="1" applyBorder="1"/>
    <xf numFmtId="164" fontId="1" fillId="0" borderId="33" xfId="1" applyNumberFormat="1" applyFont="1" applyBorder="1"/>
    <xf numFmtId="164" fontId="1" fillId="5" borderId="28" xfId="1" applyNumberFormat="1" applyFont="1" applyFill="1" applyBorder="1"/>
    <xf numFmtId="164" fontId="1" fillId="0" borderId="28" xfId="1" applyNumberFormat="1" applyFont="1" applyBorder="1"/>
    <xf numFmtId="165" fontId="1" fillId="0" borderId="31" xfId="1" applyNumberFormat="1" applyFont="1" applyBorder="1"/>
    <xf numFmtId="165" fontId="1" fillId="0" borderId="34" xfId="1" applyNumberFormat="1" applyFont="1" applyBorder="1"/>
    <xf numFmtId="165" fontId="1" fillId="5" borderId="29" xfId="1" applyNumberFormat="1" applyFont="1" applyFill="1" applyBorder="1"/>
    <xf numFmtId="165" fontId="1" fillId="5" borderId="30" xfId="1" applyNumberFormat="1" applyFont="1" applyFill="1" applyBorder="1"/>
    <xf numFmtId="165" fontId="1" fillId="0" borderId="29" xfId="1" applyNumberFormat="1" applyFont="1" applyBorder="1"/>
    <xf numFmtId="165" fontId="1" fillId="0" borderId="30" xfId="1" applyNumberFormat="1" applyFont="1" applyBorder="1"/>
    <xf numFmtId="165" fontId="1" fillId="5" borderId="31" xfId="1" applyNumberFormat="1" applyFont="1" applyFill="1" applyBorder="1"/>
    <xf numFmtId="165" fontId="1" fillId="5" borderId="34" xfId="1" applyNumberFormat="1" applyFont="1" applyFill="1" applyBorder="1"/>
    <xf numFmtId="0" fontId="0" fillId="5" borderId="28" xfId="0" applyNumberFormat="1" applyFont="1" applyFill="1" applyBorder="1"/>
    <xf numFmtId="0" fontId="0" fillId="0" borderId="28" xfId="0" applyNumberFormat="1" applyFont="1" applyBorder="1"/>
    <xf numFmtId="17" fontId="0" fillId="0" borderId="0" xfId="0" applyNumberFormat="1"/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4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39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/>
    </xf>
    <xf numFmtId="0" fontId="9" fillId="4" borderId="40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40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5" fontId="0" fillId="0" borderId="27" xfId="0" applyNumberFormat="1" applyBorder="1" applyAlignment="1">
      <alignment horizontal="center" vertical="center"/>
    </xf>
    <xf numFmtId="165" fontId="0" fillId="0" borderId="19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2" fontId="0" fillId="5" borderId="29" xfId="0" applyNumberFormat="1" applyFont="1" applyFill="1" applyBorder="1"/>
    <xf numFmtId="172" fontId="0" fillId="0" borderId="29" xfId="0" applyNumberFormat="1" applyFont="1" applyBorder="1"/>
    <xf numFmtId="172" fontId="0" fillId="0" borderId="0" xfId="0" applyNumberFormat="1"/>
    <xf numFmtId="172" fontId="0" fillId="0" borderId="0" xfId="0" applyNumberFormat="1" applyBorder="1"/>
    <xf numFmtId="172" fontId="0" fillId="0" borderId="30" xfId="0" applyNumberFormat="1" applyFont="1" applyBorder="1"/>
    <xf numFmtId="172" fontId="0" fillId="5" borderId="30" xfId="0" applyNumberFormat="1" applyFont="1" applyFill="1" applyBorder="1"/>
    <xf numFmtId="172" fontId="0" fillId="0" borderId="18" xfId="0" applyNumberFormat="1" applyBorder="1" applyAlignment="1">
      <alignment horizontal="center" vertical="center"/>
    </xf>
    <xf numFmtId="0" fontId="0" fillId="0" borderId="42" xfId="0" applyNumberFormat="1" applyFont="1" applyBorder="1"/>
    <xf numFmtId="0" fontId="0" fillId="0" borderId="29" xfId="0" applyBorder="1"/>
    <xf numFmtId="172" fontId="0" fillId="0" borderId="43" xfId="0" applyNumberFormat="1" applyFont="1" applyBorder="1"/>
    <xf numFmtId="2" fontId="0" fillId="0" borderId="44" xfId="0" applyNumberFormat="1" applyFont="1" applyBorder="1"/>
    <xf numFmtId="0" fontId="0" fillId="0" borderId="45" xfId="0" applyBorder="1"/>
    <xf numFmtId="0" fontId="0" fillId="0" borderId="30" xfId="0" applyBorder="1"/>
    <xf numFmtId="0" fontId="0" fillId="0" borderId="46" xfId="0" applyBorder="1"/>
    <xf numFmtId="0" fontId="0" fillId="0" borderId="44" xfId="0" applyBorder="1"/>
    <xf numFmtId="172" fontId="0" fillId="0" borderId="31" xfId="0" applyNumberFormat="1" applyBorder="1"/>
    <xf numFmtId="0" fontId="0" fillId="6" borderId="42" xfId="0" applyFill="1" applyBorder="1"/>
    <xf numFmtId="172" fontId="0" fillId="6" borderId="43" xfId="0" applyNumberFormat="1" applyFill="1" applyBorder="1"/>
    <xf numFmtId="0" fontId="0" fillId="6" borderId="44" xfId="0" applyFill="1" applyBorder="1"/>
    <xf numFmtId="0" fontId="0" fillId="0" borderId="28" xfId="0" applyBorder="1"/>
    <xf numFmtId="172" fontId="0" fillId="0" borderId="29" xfId="0" applyNumberFormat="1" applyBorder="1"/>
    <xf numFmtId="0" fontId="0" fillId="6" borderId="33" xfId="0" applyFill="1" applyBorder="1"/>
    <xf numFmtId="172" fontId="0" fillId="6" borderId="31" xfId="0" applyNumberFormat="1" applyFill="1" applyBorder="1"/>
    <xf numFmtId="0" fontId="0" fillId="6" borderId="34" xfId="0" applyFill="1" applyBorder="1"/>
    <xf numFmtId="0" fontId="0" fillId="6" borderId="28" xfId="0" applyFill="1" applyBorder="1"/>
    <xf numFmtId="172" fontId="0" fillId="6" borderId="29" xfId="0" applyNumberFormat="1" applyFill="1" applyBorder="1"/>
    <xf numFmtId="0" fontId="0" fillId="6" borderId="30" xfId="0" applyFill="1" applyBorder="1"/>
    <xf numFmtId="172" fontId="0" fillId="0" borderId="42" xfId="0" applyNumberFormat="1" applyBorder="1"/>
    <xf numFmtId="172" fontId="0" fillId="0" borderId="43" xfId="0" applyNumberFormat="1" applyBorder="1"/>
    <xf numFmtId="172" fontId="0" fillId="0" borderId="44" xfId="0" applyNumberFormat="1" applyBorder="1"/>
    <xf numFmtId="172" fontId="0" fillId="0" borderId="33" xfId="0" applyNumberFormat="1" applyBorder="1"/>
    <xf numFmtId="172" fontId="0" fillId="0" borderId="34" xfId="0" applyNumberFormat="1" applyBorder="1"/>
    <xf numFmtId="0" fontId="0" fillId="0" borderId="0" xfId="0" applyBorder="1"/>
    <xf numFmtId="172" fontId="0" fillId="6" borderId="28" xfId="0" applyNumberFormat="1" applyFill="1" applyBorder="1"/>
    <xf numFmtId="172" fontId="0" fillId="6" borderId="30" xfId="0" applyNumberFormat="1" applyFill="1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u="sng"/>
              <a:t>График решения</a:t>
            </a:r>
            <a:r>
              <a:rPr lang="en-US" u="sng"/>
              <a:t> </a:t>
            </a:r>
            <a:endParaRPr lang="ru-RU" u="sng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067040687782241E-2"/>
          <c:y val="6.1857755047173009E-2"/>
          <c:w val="0.7480743047913907"/>
          <c:h val="0.8472824499403329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'63'!$A$4:$A$63</c:f>
              <c:numCache>
                <c:formatCode>General</c:formatCode>
                <c:ptCount val="6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'63'!$C$4:$C$63</c:f>
              <c:numCache>
                <c:formatCode>0.000000</c:formatCode>
                <c:ptCount val="60"/>
                <c:pt idx="0">
                  <c:v>1.9051709999999999</c:v>
                </c:pt>
                <c:pt idx="1">
                  <c:v>1.815688</c:v>
                </c:pt>
                <c:pt idx="2">
                  <c:v>1.7372570000000001</c:v>
                </c:pt>
                <c:pt idx="3">
                  <c:v>1.6709830000000001</c:v>
                </c:pt>
                <c:pt idx="4">
                  <c:v>1.6180810000000001</c:v>
                </c:pt>
                <c:pt idx="5">
                  <c:v>1.5798890000000001</c:v>
                </c:pt>
                <c:pt idx="6">
                  <c:v>1.5578780000000001</c:v>
                </c:pt>
                <c:pt idx="7">
                  <c:v>1.553666</c:v>
                </c:pt>
                <c:pt idx="8">
                  <c:v>1.569032</c:v>
                </c:pt>
                <c:pt idx="9">
                  <c:v>1.6059349999999999</c:v>
                </c:pt>
                <c:pt idx="10">
                  <c:v>1.6665289999999999</c:v>
                </c:pt>
                <c:pt idx="11">
                  <c:v>1.753182</c:v>
                </c:pt>
                <c:pt idx="12">
                  <c:v>1.8685</c:v>
                </c:pt>
                <c:pt idx="13">
                  <c:v>2.0153500000000002</c:v>
                </c:pt>
                <c:pt idx="14">
                  <c:v>2.196885</c:v>
                </c:pt>
                <c:pt idx="15">
                  <c:v>2.4165740000000002</c:v>
                </c:pt>
                <c:pt idx="16">
                  <c:v>2.6782309999999998</c:v>
                </c:pt>
                <c:pt idx="17">
                  <c:v>2.9860540000000002</c:v>
                </c:pt>
                <c:pt idx="18">
                  <c:v>3.344659</c:v>
                </c:pt>
                <c:pt idx="19">
                  <c:v>3.759125</c:v>
                </c:pt>
                <c:pt idx="20">
                  <c:v>4.2350380000000003</c:v>
                </c:pt>
                <c:pt idx="21">
                  <c:v>4.7785419999999998</c:v>
                </c:pt>
                <c:pt idx="22">
                  <c:v>5.3963960000000002</c:v>
                </c:pt>
                <c:pt idx="23">
                  <c:v>6.0960349999999996</c:v>
                </c:pt>
                <c:pt idx="24">
                  <c:v>6.8856390000000003</c:v>
                </c:pt>
                <c:pt idx="25">
                  <c:v>7.774203</c:v>
                </c:pt>
                <c:pt idx="26">
                  <c:v>8.7716229999999999</c:v>
                </c:pt>
                <c:pt idx="27">
                  <c:v>9.8887850000000004</c:v>
                </c:pt>
                <c:pt idx="28">
                  <c:v>11.137663999999999</c:v>
                </c:pt>
                <c:pt idx="29">
                  <c:v>12.53143</c:v>
                </c:pt>
                <c:pt idx="30">
                  <c:v>14.084573000000001</c:v>
                </c:pt>
                <c:pt idx="31">
                  <c:v>15.813031000000001</c:v>
                </c:pt>
                <c:pt idx="32">
                  <c:v>17.734334</c:v>
                </c:pt>
                <c:pt idx="33">
                  <c:v>19.867767000000001</c:v>
                </c:pt>
                <c:pt idx="34">
                  <c:v>22.234544</c:v>
                </c:pt>
                <c:pt idx="35">
                  <c:v>24.857997999999998</c:v>
                </c:pt>
                <c:pt idx="36">
                  <c:v>27.763798000000001</c:v>
                </c:pt>
                <c:pt idx="37">
                  <c:v>30.980177999999999</c:v>
                </c:pt>
                <c:pt idx="38">
                  <c:v>34.538195999999999</c:v>
                </c:pt>
                <c:pt idx="39">
                  <c:v>38.472014999999999</c:v>
                </c:pt>
                <c:pt idx="40">
                  <c:v>42.819217000000002</c:v>
                </c:pt>
                <c:pt idx="41">
                  <c:v>47.621138000000002</c:v>
                </c:pt>
                <c:pt idx="42">
                  <c:v>52.923251999999998</c:v>
                </c:pt>
                <c:pt idx="43">
                  <c:v>58.775576999999998</c:v>
                </c:pt>
                <c:pt idx="44">
                  <c:v>65.233135000000004</c:v>
                </c:pt>
                <c:pt idx="45">
                  <c:v>72.356448999999998</c:v>
                </c:pt>
                <c:pt idx="46">
                  <c:v>80.212093999999993</c:v>
                </c:pt>
                <c:pt idx="47">
                  <c:v>88.873303000000007</c:v>
                </c:pt>
                <c:pt idx="48">
                  <c:v>98.420632999999995</c:v>
                </c:pt>
                <c:pt idx="49">
                  <c:v>108.942697</c:v>
                </c:pt>
                <c:pt idx="52" formatCode="General">
                  <c:v>0</c:v>
                </c:pt>
                <c:pt idx="53">
                  <c:v>30.470462000000001</c:v>
                </c:pt>
                <c:pt idx="55" formatCode="General">
                  <c:v>0</c:v>
                </c:pt>
                <c:pt idx="56">
                  <c:v>5.254969120000001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39C-4370-BDE1-BE5AB9D4E9A0}"/>
            </c:ext>
          </c:extLst>
        </c:ser>
        <c:ser>
          <c:idx val="1"/>
          <c:order val="1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'63'!$F$4:$F$33</c:f>
              <c:numCache>
                <c:formatCode>0.0</c:formatCode>
                <c:ptCount val="30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0.9</c:v>
                </c:pt>
                <c:pt idx="5">
                  <c:v>1.1000000000000001</c:v>
                </c:pt>
                <c:pt idx="6">
                  <c:v>1.3</c:v>
                </c:pt>
                <c:pt idx="7">
                  <c:v>1.5</c:v>
                </c:pt>
                <c:pt idx="8">
                  <c:v>1.7</c:v>
                </c:pt>
                <c:pt idx="9">
                  <c:v>1.9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2.7</c:v>
                </c:pt>
                <c:pt idx="14">
                  <c:v>2.9</c:v>
                </c:pt>
                <c:pt idx="15">
                  <c:v>3.1</c:v>
                </c:pt>
                <c:pt idx="16">
                  <c:v>3.3</c:v>
                </c:pt>
                <c:pt idx="17">
                  <c:v>3.5</c:v>
                </c:pt>
                <c:pt idx="18">
                  <c:v>3.7</c:v>
                </c:pt>
                <c:pt idx="19">
                  <c:v>3.9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4.5</c:v>
                </c:pt>
                <c:pt idx="23">
                  <c:v>4.7</c:v>
                </c:pt>
                <c:pt idx="24">
                  <c:v>4.9000000000000004</c:v>
                </c:pt>
              </c:numCache>
            </c:numRef>
          </c:xVal>
          <c:yVal>
            <c:numRef>
              <c:f>'63'!$G$4:$G$33</c:f>
              <c:numCache>
                <c:formatCode>0.000000</c:formatCode>
                <c:ptCount val="30"/>
                <c:pt idx="0">
                  <c:v>1.9051709999999999</c:v>
                </c:pt>
                <c:pt idx="1">
                  <c:v>1.726205</c:v>
                </c:pt>
                <c:pt idx="2">
                  <c:v>1.5914459999999999</c:v>
                </c:pt>
                <c:pt idx="3">
                  <c:v>1.509735</c:v>
                </c:pt>
                <c:pt idx="4">
                  <c:v>1.4916830000000001</c:v>
                </c:pt>
                <c:pt idx="5">
                  <c:v>1.550019</c:v>
                </c:pt>
                <c:pt idx="6">
                  <c:v>1.7000230000000001</c:v>
                </c:pt>
                <c:pt idx="7">
                  <c:v>1.9600280000000001</c:v>
                </c:pt>
                <c:pt idx="8">
                  <c:v>2.352033</c:v>
                </c:pt>
                <c:pt idx="9">
                  <c:v>2.9024399999999999</c:v>
                </c:pt>
                <c:pt idx="10">
                  <c:v>3.6429279999999999</c:v>
                </c:pt>
                <c:pt idx="11">
                  <c:v>4.6115130000000004</c:v>
                </c:pt>
                <c:pt idx="12">
                  <c:v>5.8538160000000001</c:v>
                </c:pt>
                <c:pt idx="13">
                  <c:v>7.4245789999999996</c:v>
                </c:pt>
                <c:pt idx="14">
                  <c:v>9.3894950000000001</c:v>
                </c:pt>
                <c:pt idx="15">
                  <c:v>11.827393000000001</c:v>
                </c:pt>
                <c:pt idx="16">
                  <c:v>14.832872</c:v>
                </c:pt>
                <c:pt idx="17">
                  <c:v>18.519447</c:v>
                </c:pt>
                <c:pt idx="18">
                  <c:v>23.023336</c:v>
                </c:pt>
                <c:pt idx="19">
                  <c:v>28.508002999999999</c:v>
                </c:pt>
                <c:pt idx="20">
                  <c:v>35.169604</c:v>
                </c:pt>
                <c:pt idx="21">
                  <c:v>43.243524000000001</c:v>
                </c:pt>
                <c:pt idx="22">
                  <c:v>53.012228999999998</c:v>
                </c:pt>
                <c:pt idx="23">
                  <c:v>64.814674999999994</c:v>
                </c:pt>
                <c:pt idx="24">
                  <c:v>79.057609999999997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39C-4370-BDE1-BE5AB9D4E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373888"/>
        <c:axId val="258396544"/>
      </c:scatterChart>
      <c:scatterChart>
        <c:scatterStyle val="smoothMarker"/>
        <c:varyColors val="0"/>
        <c:ser>
          <c:idx val="2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'63'!$A$4:$A$63</c:f>
              <c:numCache>
                <c:formatCode>General</c:formatCode>
                <c:ptCount val="6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'63'!$B$4:$B$63</c:f>
              <c:numCache>
                <c:formatCode>0.000000</c:formatCode>
                <c:ptCount val="60"/>
                <c:pt idx="0">
                  <c:v>1.9051709999999999</c:v>
                </c:pt>
                <c:pt idx="1">
                  <c:v>1.815688</c:v>
                </c:pt>
                <c:pt idx="2">
                  <c:v>1.7372570000000001</c:v>
                </c:pt>
                <c:pt idx="3">
                  <c:v>1.6709830000000001</c:v>
                </c:pt>
                <c:pt idx="4">
                  <c:v>1.6180810000000001</c:v>
                </c:pt>
                <c:pt idx="5">
                  <c:v>1.5798890000000001</c:v>
                </c:pt>
                <c:pt idx="6">
                  <c:v>1.5578780000000001</c:v>
                </c:pt>
                <c:pt idx="7">
                  <c:v>1.553666</c:v>
                </c:pt>
                <c:pt idx="8">
                  <c:v>1.569032</c:v>
                </c:pt>
                <c:pt idx="9">
                  <c:v>1.6059349999999999</c:v>
                </c:pt>
                <c:pt idx="10">
                  <c:v>1.6665289999999999</c:v>
                </c:pt>
                <c:pt idx="11">
                  <c:v>1.753182</c:v>
                </c:pt>
                <c:pt idx="12">
                  <c:v>1.8685</c:v>
                </c:pt>
                <c:pt idx="13">
                  <c:v>2.0153500000000002</c:v>
                </c:pt>
                <c:pt idx="14">
                  <c:v>2.196885</c:v>
                </c:pt>
                <c:pt idx="15">
                  <c:v>2.4165740000000002</c:v>
                </c:pt>
                <c:pt idx="16">
                  <c:v>2.6782309999999998</c:v>
                </c:pt>
                <c:pt idx="17">
                  <c:v>2.9860540000000002</c:v>
                </c:pt>
                <c:pt idx="18">
                  <c:v>3.344659</c:v>
                </c:pt>
                <c:pt idx="19">
                  <c:v>3.759125</c:v>
                </c:pt>
                <c:pt idx="20">
                  <c:v>4.2350380000000003</c:v>
                </c:pt>
                <c:pt idx="21">
                  <c:v>4.7785419999999998</c:v>
                </c:pt>
                <c:pt idx="22">
                  <c:v>5.3963960000000002</c:v>
                </c:pt>
                <c:pt idx="23">
                  <c:v>6.0960349999999996</c:v>
                </c:pt>
                <c:pt idx="24">
                  <c:v>6.8856390000000003</c:v>
                </c:pt>
                <c:pt idx="25">
                  <c:v>7.774203</c:v>
                </c:pt>
                <c:pt idx="26">
                  <c:v>8.7716229999999999</c:v>
                </c:pt>
                <c:pt idx="27">
                  <c:v>9.8887850000000004</c:v>
                </c:pt>
                <c:pt idx="28">
                  <c:v>11.137663999999999</c:v>
                </c:pt>
                <c:pt idx="29">
                  <c:v>12.53143</c:v>
                </c:pt>
                <c:pt idx="30">
                  <c:v>14.084573000000001</c:v>
                </c:pt>
                <c:pt idx="31">
                  <c:v>15.813031000000001</c:v>
                </c:pt>
                <c:pt idx="32">
                  <c:v>17.734334</c:v>
                </c:pt>
                <c:pt idx="33">
                  <c:v>19.867767000000001</c:v>
                </c:pt>
                <c:pt idx="34">
                  <c:v>22.234544</c:v>
                </c:pt>
                <c:pt idx="35">
                  <c:v>24.857997999999998</c:v>
                </c:pt>
                <c:pt idx="36">
                  <c:v>27.763798000000001</c:v>
                </c:pt>
                <c:pt idx="37">
                  <c:v>30.980177999999999</c:v>
                </c:pt>
                <c:pt idx="38">
                  <c:v>34.538195999999999</c:v>
                </c:pt>
                <c:pt idx="39">
                  <c:v>38.472014999999999</c:v>
                </c:pt>
                <c:pt idx="40">
                  <c:v>42.819217000000002</c:v>
                </c:pt>
                <c:pt idx="41">
                  <c:v>47.621138000000002</c:v>
                </c:pt>
                <c:pt idx="42">
                  <c:v>52.923251999999998</c:v>
                </c:pt>
                <c:pt idx="43">
                  <c:v>58.775576999999998</c:v>
                </c:pt>
                <c:pt idx="44">
                  <c:v>65.233135000000004</c:v>
                </c:pt>
                <c:pt idx="45">
                  <c:v>72.356448999999998</c:v>
                </c:pt>
                <c:pt idx="46">
                  <c:v>80.212093999999993</c:v>
                </c:pt>
                <c:pt idx="47">
                  <c:v>88.873303000000007</c:v>
                </c:pt>
                <c:pt idx="48">
                  <c:v>98.420632999999995</c:v>
                </c:pt>
                <c:pt idx="49">
                  <c:v>108.942697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539C-4370-BDE1-BE5AB9D4E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373888"/>
        <c:axId val="258396544"/>
      </c:scatterChart>
      <c:valAx>
        <c:axId val="2583738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396544"/>
        <c:crosses val="autoZero"/>
        <c:crossBetween val="midCat"/>
      </c:valAx>
      <c:valAx>
        <c:axId val="2583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373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31982393643811"/>
          <c:y val="0.43955406679138948"/>
          <c:w val="0.16868017606356192"/>
          <c:h val="0.132300781213835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100"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u="sng"/>
              <a:t>График </a:t>
            </a:r>
            <a:r>
              <a:rPr lang="ru-RU" sz="1320" b="0" i="0" u="sng" strike="noStrike" baseline="0">
                <a:effectLst/>
              </a:rPr>
              <a:t>ошибки </a:t>
            </a:r>
            <a:r>
              <a:rPr lang="ru-RU" u="sng"/>
              <a:t>решения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067040687782241E-2"/>
          <c:y val="6.1857755047173009E-2"/>
          <c:w val="0.7480743047913907"/>
          <c:h val="0.84728244994033297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'63'!$A$4:$A$53</c:f>
              <c:numCache>
                <c:formatCode>General</c:formatCode>
                <c:ptCount val="5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</c:numCache>
            </c:numRef>
          </c:xVal>
          <c:yVal>
            <c:numRef>
              <c:f>'63'!$D$4:$D$53</c:f>
              <c:numCache>
                <c:formatCode>0.000000</c:formatCode>
                <c:ptCount val="50"/>
                <c:pt idx="0">
                  <c:v>0</c:v>
                </c:pt>
                <c:pt idx="1">
                  <c:v>5.7149999999999996E-3</c:v>
                </c:pt>
                <c:pt idx="2">
                  <c:v>1.2602E-2</c:v>
                </c:pt>
                <c:pt idx="3">
                  <c:v>2.0841999999999999E-2</c:v>
                </c:pt>
                <c:pt idx="4">
                  <c:v>3.0640000000000001E-2</c:v>
                </c:pt>
                <c:pt idx="5">
                  <c:v>4.2229999999999997E-2</c:v>
                </c:pt>
                <c:pt idx="6">
                  <c:v>5.5875000000000001E-2</c:v>
                </c:pt>
                <c:pt idx="7">
                  <c:v>7.1874999999999994E-2</c:v>
                </c:pt>
                <c:pt idx="8">
                  <c:v>9.0570999999999999E-2</c:v>
                </c:pt>
                <c:pt idx="9">
                  <c:v>0.112346</c:v>
                </c:pt>
                <c:pt idx="10">
                  <c:v>0.13763700000000001</c:v>
                </c:pt>
                <c:pt idx="11">
                  <c:v>0.166935</c:v>
                </c:pt>
                <c:pt idx="12">
                  <c:v>0.200797</c:v>
                </c:pt>
                <c:pt idx="13">
                  <c:v>0.23985000000000001</c:v>
                </c:pt>
                <c:pt idx="14">
                  <c:v>0.284804</c:v>
                </c:pt>
                <c:pt idx="15">
                  <c:v>0.33645900000000001</c:v>
                </c:pt>
                <c:pt idx="16">
                  <c:v>0.39571699999999999</c:v>
                </c:pt>
                <c:pt idx="17">
                  <c:v>0.46359299999999998</c:v>
                </c:pt>
                <c:pt idx="18">
                  <c:v>0.54123500000000002</c:v>
                </c:pt>
                <c:pt idx="19">
                  <c:v>0.62993100000000002</c:v>
                </c:pt>
                <c:pt idx="20">
                  <c:v>0.731132</c:v>
                </c:pt>
                <c:pt idx="21">
                  <c:v>0.846472</c:v>
                </c:pt>
                <c:pt idx="22">
                  <c:v>0.97778699999999996</c:v>
                </c:pt>
                <c:pt idx="23">
                  <c:v>1.1271409999999999</c:v>
                </c:pt>
                <c:pt idx="24">
                  <c:v>1.2968550000000001</c:v>
                </c:pt>
                <c:pt idx="25">
                  <c:v>1.4895350000000001</c:v>
                </c:pt>
                <c:pt idx="26">
                  <c:v>1.7081090000000001</c:v>
                </c:pt>
                <c:pt idx="27">
                  <c:v>1.9558610000000001</c:v>
                </c:pt>
                <c:pt idx="28">
                  <c:v>2.2364809999999999</c:v>
                </c:pt>
                <c:pt idx="29">
                  <c:v>2.5541070000000001</c:v>
                </c:pt>
                <c:pt idx="30">
                  <c:v>2.9133779999999998</c:v>
                </c:pt>
                <c:pt idx="31">
                  <c:v>3.3195000000000001</c:v>
                </c:pt>
                <c:pt idx="32">
                  <c:v>3.778305</c:v>
                </c:pt>
                <c:pt idx="33">
                  <c:v>4.2963329999999997</c:v>
                </c:pt>
                <c:pt idx="34">
                  <c:v>4.8809079999999998</c:v>
                </c:pt>
                <c:pt idx="35">
                  <c:v>5.5402360000000002</c:v>
                </c:pt>
                <c:pt idx="36">
                  <c:v>6.283506</c:v>
                </c:pt>
                <c:pt idx="37">
                  <c:v>7.1210069999999996</c:v>
                </c:pt>
                <c:pt idx="38">
                  <c:v>8.0642530000000008</c:v>
                </c:pt>
                <c:pt idx="39">
                  <c:v>9.1261349999999997</c:v>
                </c:pt>
                <c:pt idx="40">
                  <c:v>10.321071</c:v>
                </c:pt>
                <c:pt idx="41">
                  <c:v>11.665193</c:v>
                </c:pt>
                <c:pt idx="42">
                  <c:v>13.176541</c:v>
                </c:pt>
                <c:pt idx="43">
                  <c:v>14.875291000000001</c:v>
                </c:pt>
                <c:pt idx="44">
                  <c:v>16.783995999999998</c:v>
                </c:pt>
                <c:pt idx="45">
                  <c:v>18.927866999999999</c:v>
                </c:pt>
                <c:pt idx="46">
                  <c:v>21.335079</c:v>
                </c:pt>
                <c:pt idx="47">
                  <c:v>24.037115</c:v>
                </c:pt>
                <c:pt idx="48">
                  <c:v>27.069146</c:v>
                </c:pt>
                <c:pt idx="49">
                  <c:v>30.470462000000001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5-2A34-47E1-A742-727285298269}"/>
            </c:ext>
          </c:extLst>
        </c:ser>
        <c:ser>
          <c:idx val="1"/>
          <c:order val="1"/>
          <c:marker>
            <c:symbol val="none"/>
          </c:marker>
          <c:xVal>
            <c:numRef>
              <c:f>'63'!$F$4:$F$28</c:f>
              <c:numCache>
                <c:formatCode>0.0</c:formatCode>
                <c:ptCount val="25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0.9</c:v>
                </c:pt>
                <c:pt idx="5">
                  <c:v>1.1000000000000001</c:v>
                </c:pt>
                <c:pt idx="6">
                  <c:v>1.3</c:v>
                </c:pt>
                <c:pt idx="7">
                  <c:v>1.5</c:v>
                </c:pt>
                <c:pt idx="8">
                  <c:v>1.7</c:v>
                </c:pt>
                <c:pt idx="9">
                  <c:v>1.9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2.7</c:v>
                </c:pt>
                <c:pt idx="14">
                  <c:v>2.9</c:v>
                </c:pt>
                <c:pt idx="15">
                  <c:v>3.1</c:v>
                </c:pt>
                <c:pt idx="16">
                  <c:v>3.3</c:v>
                </c:pt>
                <c:pt idx="17">
                  <c:v>3.5</c:v>
                </c:pt>
                <c:pt idx="18">
                  <c:v>3.7</c:v>
                </c:pt>
                <c:pt idx="19">
                  <c:v>3.9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4.5</c:v>
                </c:pt>
                <c:pt idx="23">
                  <c:v>4.7</c:v>
                </c:pt>
                <c:pt idx="24">
                  <c:v>4.9000000000000004</c:v>
                </c:pt>
              </c:numCache>
            </c:numRef>
          </c:xVal>
          <c:yVal>
            <c:numRef>
              <c:f>'63'!$I$4:$I$28</c:f>
              <c:numCache>
                <c:formatCode>0.000000</c:formatCode>
                <c:ptCount val="25"/>
                <c:pt idx="0">
                  <c:v>0</c:v>
                </c:pt>
                <c:pt idx="1">
                  <c:v>2.3654000000000001E-2</c:v>
                </c:pt>
                <c:pt idx="2">
                  <c:v>5.7275E-2</c:v>
                </c:pt>
                <c:pt idx="3">
                  <c:v>0.104017</c:v>
                </c:pt>
                <c:pt idx="4">
                  <c:v>0.16792099999999999</c:v>
                </c:pt>
                <c:pt idx="5">
                  <c:v>0.25414700000000001</c:v>
                </c:pt>
                <c:pt idx="6">
                  <c:v>0.36927399999999999</c:v>
                </c:pt>
                <c:pt idx="7">
                  <c:v>0.52166199999999996</c:v>
                </c:pt>
                <c:pt idx="8">
                  <c:v>0.72191399999999994</c:v>
                </c:pt>
                <c:pt idx="9">
                  <c:v>0.98345499999999997</c:v>
                </c:pt>
                <c:pt idx="10">
                  <c:v>1.323242</c:v>
                </c:pt>
                <c:pt idx="11">
                  <c:v>1.762669</c:v>
                </c:pt>
                <c:pt idx="12">
                  <c:v>2.328678</c:v>
                </c:pt>
                <c:pt idx="13">
                  <c:v>3.0551529999999998</c:v>
                </c:pt>
                <c:pt idx="14">
                  <c:v>3.9846509999999999</c:v>
                </c:pt>
                <c:pt idx="15">
                  <c:v>5.1705579999999998</c:v>
                </c:pt>
                <c:pt idx="16">
                  <c:v>6.679767</c:v>
                </c:pt>
                <c:pt idx="17">
                  <c:v>8.5960049999999999</c:v>
                </c:pt>
                <c:pt idx="18">
                  <c:v>11.023968</c:v>
                </c:pt>
                <c:pt idx="19">
                  <c:v>14.094446</c:v>
                </c:pt>
                <c:pt idx="20">
                  <c:v>17.970683999999999</c:v>
                </c:pt>
                <c:pt idx="21">
                  <c:v>22.856269000000001</c:v>
                </c:pt>
                <c:pt idx="22">
                  <c:v>29.004902000000001</c:v>
                </c:pt>
                <c:pt idx="23">
                  <c:v>36.732497000000002</c:v>
                </c:pt>
                <c:pt idx="24">
                  <c:v>46.432169999999999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6-2A34-47E1-A742-727285298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437888"/>
        <c:axId val="258439808"/>
      </c:scatterChart>
      <c:valAx>
        <c:axId val="258437888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х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439808"/>
        <c:crosses val="autoZero"/>
        <c:crossBetween val="midCat"/>
      </c:valAx>
      <c:valAx>
        <c:axId val="25843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6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600" b="1"/>
                  <a:t>у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4378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1531542528518464"/>
          <c:y val="0.3650216108352764"/>
          <c:w val="0.17906774410745818"/>
          <c:h val="0.210183636105543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 xmlns:c16r2="http://schemas.microsoft.com/office/drawing/2015/06/chart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100"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sng" strike="noStrike" baseline="0">
                <a:effectLst/>
              </a:rPr>
              <a:t>График решения </a:t>
            </a:r>
            <a:r>
              <a:rPr lang="ru-RU" sz="1800" u="sng"/>
              <a:t>№141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у (h=0.25)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'141'!$A$5:$A$37</c:f>
              <c:numCache>
                <c:formatCode>General</c:formatCode>
                <c:ptCount val="3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</c:numCache>
            </c:numRef>
          </c:xVal>
          <c:yVal>
            <c:numRef>
              <c:f>'141'!$B$5:$B$37</c:f>
              <c:numCache>
                <c:formatCode>0.0000</c:formatCode>
                <c:ptCount val="33"/>
                <c:pt idx="0">
                  <c:v>0.01</c:v>
                </c:pt>
                <c:pt idx="1">
                  <c:v>0.03</c:v>
                </c:pt>
                <c:pt idx="2">
                  <c:v>6.4500000000000002E-2</c:v>
                </c:pt>
                <c:pt idx="3">
                  <c:v>0.1147</c:v>
                </c:pt>
                <c:pt idx="4">
                  <c:v>0.1802</c:v>
                </c:pt>
                <c:pt idx="5">
                  <c:v>0.2601</c:v>
                </c:pt>
                <c:pt idx="6">
                  <c:v>0.35299999999999998</c:v>
                </c:pt>
                <c:pt idx="7">
                  <c:v>0.45700000000000002</c:v>
                </c:pt>
                <c:pt idx="8">
                  <c:v>0.56979999999999997</c:v>
                </c:pt>
                <c:pt idx="9">
                  <c:v>0.68910000000000005</c:v>
                </c:pt>
                <c:pt idx="10">
                  <c:v>0.81200000000000006</c:v>
                </c:pt>
                <c:pt idx="11">
                  <c:v>0.93579999999999997</c:v>
                </c:pt>
                <c:pt idx="12">
                  <c:v>1.0571999999999999</c:v>
                </c:pt>
                <c:pt idx="13">
                  <c:v>1.1733</c:v>
                </c:pt>
                <c:pt idx="14">
                  <c:v>1.2808999999999999</c:v>
                </c:pt>
                <c:pt idx="15">
                  <c:v>1.3769</c:v>
                </c:pt>
                <c:pt idx="16">
                  <c:v>1.4582999999999999</c:v>
                </c:pt>
                <c:pt idx="17">
                  <c:v>1.5222</c:v>
                </c:pt>
                <c:pt idx="18">
                  <c:v>1.5659000000000001</c:v>
                </c:pt>
                <c:pt idx="19">
                  <c:v>1.5868</c:v>
                </c:pt>
                <c:pt idx="20">
                  <c:v>1.583</c:v>
                </c:pt>
                <c:pt idx="21">
                  <c:v>1.5523</c:v>
                </c:pt>
                <c:pt idx="22">
                  <c:v>1.4934000000000001</c:v>
                </c:pt>
                <c:pt idx="23">
                  <c:v>1.4051</c:v>
                </c:pt>
                <c:pt idx="24">
                  <c:v>1.2867</c:v>
                </c:pt>
                <c:pt idx="25">
                  <c:v>1.1377999999999999</c:v>
                </c:pt>
                <c:pt idx="26">
                  <c:v>0.95879999999999999</c:v>
                </c:pt>
                <c:pt idx="27">
                  <c:v>0.75019999999999998</c:v>
                </c:pt>
                <c:pt idx="28">
                  <c:v>0.51319999999999999</c:v>
                </c:pt>
                <c:pt idx="29">
                  <c:v>0.24929999999999999</c:v>
                </c:pt>
                <c:pt idx="30">
                  <c:v>-3.9399999999999998E-2</c:v>
                </c:pt>
                <c:pt idx="31">
                  <c:v>-0.35039999999999999</c:v>
                </c:pt>
                <c:pt idx="32">
                  <c:v>-0.68079999999999996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E50-4258-9824-9810415F2A72}"/>
            </c:ext>
          </c:extLst>
        </c:ser>
        <c:ser>
          <c:idx val="1"/>
          <c:order val="1"/>
          <c:tx>
            <c:v>y (h=0.5)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'141'!$F$5:$F$30</c:f>
              <c:numCache>
                <c:formatCode>0.00</c:formatCode>
                <c:ptCount val="26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0.9</c:v>
                </c:pt>
                <c:pt idx="5">
                  <c:v>1.1000000000000001</c:v>
                </c:pt>
                <c:pt idx="6">
                  <c:v>1.3</c:v>
                </c:pt>
                <c:pt idx="7">
                  <c:v>1.5</c:v>
                </c:pt>
                <c:pt idx="8">
                  <c:v>1.7</c:v>
                </c:pt>
                <c:pt idx="9">
                  <c:v>1.9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2.7</c:v>
                </c:pt>
                <c:pt idx="14">
                  <c:v>2.9</c:v>
                </c:pt>
                <c:pt idx="15">
                  <c:v>3.1</c:v>
                </c:pt>
                <c:pt idx="16">
                  <c:v>3.3</c:v>
                </c:pt>
                <c:pt idx="17">
                  <c:v>3.5</c:v>
                </c:pt>
                <c:pt idx="18">
                  <c:v>3.7</c:v>
                </c:pt>
                <c:pt idx="19">
                  <c:v>3.9</c:v>
                </c:pt>
                <c:pt idx="20">
                  <c:v>4.0999999999999996</c:v>
                </c:pt>
                <c:pt idx="21">
                  <c:v>4.3</c:v>
                </c:pt>
                <c:pt idx="22">
                  <c:v>4.5</c:v>
                </c:pt>
                <c:pt idx="23">
                  <c:v>4.7</c:v>
                </c:pt>
                <c:pt idx="24">
                  <c:v>4.9000000000000004</c:v>
                </c:pt>
                <c:pt idx="25">
                  <c:v>5.0999999999999996</c:v>
                </c:pt>
              </c:numCache>
            </c:numRef>
          </c:xVal>
          <c:yVal>
            <c:numRef>
              <c:f>'141'!$G$5:$G$30</c:f>
              <c:numCache>
                <c:formatCode>0.0000</c:formatCode>
                <c:ptCount val="26"/>
                <c:pt idx="0">
                  <c:v>0.01</c:v>
                </c:pt>
                <c:pt idx="1">
                  <c:v>4.99E-2</c:v>
                </c:pt>
                <c:pt idx="2">
                  <c:v>0.14050000000000001</c:v>
                </c:pt>
                <c:pt idx="3">
                  <c:v>0.28439999999999999</c:v>
                </c:pt>
                <c:pt idx="4">
                  <c:v>0.4728</c:v>
                </c:pt>
                <c:pt idx="5">
                  <c:v>0.68969999999999998</c:v>
                </c:pt>
                <c:pt idx="6">
                  <c:v>0.91490000000000005</c:v>
                </c:pt>
                <c:pt idx="7">
                  <c:v>1.1252</c:v>
                </c:pt>
                <c:pt idx="8">
                  <c:v>1.2965</c:v>
                </c:pt>
                <c:pt idx="9">
                  <c:v>1.4052</c:v>
                </c:pt>
                <c:pt idx="10">
                  <c:v>1.4302999999999999</c:v>
                </c:pt>
                <c:pt idx="11">
                  <c:v>1.3545</c:v>
                </c:pt>
                <c:pt idx="12">
                  <c:v>1.1657999999999999</c:v>
                </c:pt>
                <c:pt idx="13">
                  <c:v>0.85850000000000004</c:v>
                </c:pt>
                <c:pt idx="14">
                  <c:v>0.43380000000000002</c:v>
                </c:pt>
                <c:pt idx="15">
                  <c:v>-9.9400000000000002E-2</c:v>
                </c:pt>
                <c:pt idx="16">
                  <c:v>-0.72529999999999994</c:v>
                </c:pt>
                <c:pt idx="17">
                  <c:v>-1.421</c:v>
                </c:pt>
                <c:pt idx="18">
                  <c:v>-2.1577000000000002</c:v>
                </c:pt>
                <c:pt idx="19">
                  <c:v>-2.9018999999999999</c:v>
                </c:pt>
                <c:pt idx="20">
                  <c:v>-3.6168999999999998</c:v>
                </c:pt>
                <c:pt idx="21">
                  <c:v>-4.2647000000000004</c:v>
                </c:pt>
                <c:pt idx="22">
                  <c:v>-4.8078000000000003</c:v>
                </c:pt>
                <c:pt idx="23">
                  <c:v>-5.2111999999999998</c:v>
                </c:pt>
                <c:pt idx="24">
                  <c:v>-5.4446000000000003</c:v>
                </c:pt>
                <c:pt idx="25">
                  <c:v>-5.484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3-3E50-4258-9824-9810415F2A72}"/>
            </c:ext>
          </c:extLst>
        </c:ser>
        <c:ser>
          <c:idx val="2"/>
          <c:order val="2"/>
          <c:tx>
            <c:v>у (точн)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'141'!$A$5:$A$37</c:f>
              <c:numCache>
                <c:formatCode>General</c:formatCode>
                <c:ptCount val="3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</c:numCache>
            </c:numRef>
          </c:xVal>
          <c:yVal>
            <c:numRef>
              <c:f>'141'!$C$5:$C$37</c:f>
              <c:numCache>
                <c:formatCode>0.0000</c:formatCode>
                <c:ptCount val="33"/>
                <c:pt idx="0">
                  <c:v>0.01</c:v>
                </c:pt>
                <c:pt idx="1">
                  <c:v>3.9800000000000002E-2</c:v>
                </c:pt>
                <c:pt idx="2">
                  <c:v>8.8700000000000001E-2</c:v>
                </c:pt>
                <c:pt idx="3">
                  <c:v>0.15579999999999999</c:v>
                </c:pt>
                <c:pt idx="4">
                  <c:v>0.23980000000000001</c:v>
                </c:pt>
                <c:pt idx="5">
                  <c:v>0.33889999999999998</c:v>
                </c:pt>
                <c:pt idx="6">
                  <c:v>0.4511</c:v>
                </c:pt>
                <c:pt idx="7">
                  <c:v>0.57399999999999995</c:v>
                </c:pt>
                <c:pt idx="8">
                  <c:v>0.70509999999999995</c:v>
                </c:pt>
                <c:pt idx="9">
                  <c:v>0.84160000000000001</c:v>
                </c:pt>
                <c:pt idx="10">
                  <c:v>0.98050000000000004</c:v>
                </c:pt>
                <c:pt idx="11">
                  <c:v>1.1186</c:v>
                </c:pt>
                <c:pt idx="12">
                  <c:v>1.2527999999999999</c:v>
                </c:pt>
                <c:pt idx="13">
                  <c:v>1.3798999999999999</c:v>
                </c:pt>
                <c:pt idx="14">
                  <c:v>1.4964999999999999</c:v>
                </c:pt>
                <c:pt idx="15">
                  <c:v>1.5995999999999999</c:v>
                </c:pt>
                <c:pt idx="16">
                  <c:v>1.6860999999999999</c:v>
                </c:pt>
                <c:pt idx="17">
                  <c:v>1.7532000000000001</c:v>
                </c:pt>
                <c:pt idx="18">
                  <c:v>1.7983</c:v>
                </c:pt>
                <c:pt idx="19">
                  <c:v>1.8189</c:v>
                </c:pt>
                <c:pt idx="20">
                  <c:v>1.8130999999999999</c:v>
                </c:pt>
                <c:pt idx="21">
                  <c:v>1.7790999999999999</c:v>
                </c:pt>
                <c:pt idx="22">
                  <c:v>1.7155</c:v>
                </c:pt>
                <c:pt idx="23">
                  <c:v>1.6214999999999999</c:v>
                </c:pt>
                <c:pt idx="24">
                  <c:v>1.4965999999999999</c:v>
                </c:pt>
                <c:pt idx="25">
                  <c:v>1.3407</c:v>
                </c:pt>
                <c:pt idx="26">
                  <c:v>1.1544000000000001</c:v>
                </c:pt>
                <c:pt idx="27">
                  <c:v>0.93840000000000001</c:v>
                </c:pt>
                <c:pt idx="28">
                  <c:v>0.69430000000000003</c:v>
                </c:pt>
                <c:pt idx="29">
                  <c:v>0.4239</c:v>
                </c:pt>
                <c:pt idx="30">
                  <c:v>0.12939999999999999</c:v>
                </c:pt>
                <c:pt idx="31">
                  <c:v>-0.18629999999999999</c:v>
                </c:pt>
                <c:pt idx="32">
                  <c:v>-0.52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4-3E50-4258-9824-9810415F2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518016"/>
        <c:axId val="258520192"/>
      </c:scatterChart>
      <c:valAx>
        <c:axId val="25851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520192"/>
        <c:crosses val="autoZero"/>
        <c:crossBetween val="midCat"/>
      </c:valAx>
      <c:valAx>
        <c:axId val="2585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518016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sng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ru-RU" sz="1800" b="0" i="0" u="sng" strike="noStrike" baseline="0">
                <a:effectLst/>
              </a:rPr>
              <a:t>График ошибки решения </a:t>
            </a:r>
            <a:r>
              <a:rPr lang="ru-RU" sz="1800" u="sng"/>
              <a:t>№141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Погрешность(h)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'141'!$A$5:$A$37</c:f>
              <c:numCache>
                <c:formatCode>General</c:formatCode>
                <c:ptCount val="33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</c:numCache>
            </c:numRef>
          </c:xVal>
          <c:yVal>
            <c:numRef>
              <c:f>'141'!$D$5:$D$37</c:f>
              <c:numCache>
                <c:formatCode>General</c:formatCode>
                <c:ptCount val="33"/>
                <c:pt idx="0">
                  <c:v>0</c:v>
                </c:pt>
                <c:pt idx="1">
                  <c:v>9.7999999999999997E-3</c:v>
                </c:pt>
                <c:pt idx="2">
                  <c:v>2.4199999999999999E-2</c:v>
                </c:pt>
                <c:pt idx="3">
                  <c:v>4.1099999999999998E-2</c:v>
                </c:pt>
                <c:pt idx="4">
                  <c:v>5.96E-2</c:v>
                </c:pt>
                <c:pt idx="5">
                  <c:v>7.8799999999999995E-2</c:v>
                </c:pt>
                <c:pt idx="6">
                  <c:v>9.8100000000000007E-2</c:v>
                </c:pt>
                <c:pt idx="7">
                  <c:v>0.11700000000000001</c:v>
                </c:pt>
                <c:pt idx="8">
                  <c:v>0.1353</c:v>
                </c:pt>
                <c:pt idx="9">
                  <c:v>0.1525</c:v>
                </c:pt>
                <c:pt idx="10">
                  <c:v>0.16850000000000001</c:v>
                </c:pt>
                <c:pt idx="11">
                  <c:v>0.18290000000000001</c:v>
                </c:pt>
                <c:pt idx="12" formatCode="0.00">
                  <c:v>0.1956</c:v>
                </c:pt>
                <c:pt idx="13" formatCode="0.00">
                  <c:v>0.20649999999999999</c:v>
                </c:pt>
                <c:pt idx="14" formatCode="0.00">
                  <c:v>0.21560000000000001</c:v>
                </c:pt>
                <c:pt idx="15" formatCode="0.00">
                  <c:v>0.22270000000000001</c:v>
                </c:pt>
                <c:pt idx="16" formatCode="0.00">
                  <c:v>0.2278</c:v>
                </c:pt>
                <c:pt idx="17" formatCode="0.00">
                  <c:v>0.23100000000000001</c:v>
                </c:pt>
                <c:pt idx="18" formatCode="0.00">
                  <c:v>0.2324</c:v>
                </c:pt>
                <c:pt idx="19" formatCode="0.00">
                  <c:v>0.2321</c:v>
                </c:pt>
                <c:pt idx="20" formatCode="0.00">
                  <c:v>0.2301</c:v>
                </c:pt>
                <c:pt idx="21" formatCode="0.00">
                  <c:v>0.22670000000000001</c:v>
                </c:pt>
                <c:pt idx="22" formatCode="0.00">
                  <c:v>0.22209999999999999</c:v>
                </c:pt>
                <c:pt idx="23" formatCode="0.00">
                  <c:v>0.21640000000000001</c:v>
                </c:pt>
                <c:pt idx="24" formatCode="0.00">
                  <c:v>0.2099</c:v>
                </c:pt>
                <c:pt idx="25" formatCode="0.00">
                  <c:v>0.2029</c:v>
                </c:pt>
                <c:pt idx="26" formatCode="0.00">
                  <c:v>0.1956</c:v>
                </c:pt>
                <c:pt idx="27" formatCode="0.00">
                  <c:v>0.18820000000000001</c:v>
                </c:pt>
                <c:pt idx="28" formatCode="0.00">
                  <c:v>0.18110000000000001</c:v>
                </c:pt>
                <c:pt idx="29" formatCode="0.00">
                  <c:v>0.17449999999999999</c:v>
                </c:pt>
                <c:pt idx="30" formatCode="0.00">
                  <c:v>0.16880000000000001</c:v>
                </c:pt>
                <c:pt idx="31" formatCode="0.00">
                  <c:v>0.1641</c:v>
                </c:pt>
                <c:pt idx="32" formatCode="0.00">
                  <c:v>0.1608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FF0-46EE-BC84-664C465E31A1}"/>
            </c:ext>
          </c:extLst>
        </c:ser>
        <c:ser>
          <c:idx val="1"/>
          <c:order val="1"/>
          <c:tx>
            <c:v>Погрешность(2h)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'141'!$F$5:$F$21</c:f>
              <c:numCache>
                <c:formatCode>0.00</c:formatCode>
                <c:ptCount val="17"/>
                <c:pt idx="0">
                  <c:v>0.1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  <c:pt idx="4">
                  <c:v>0.9</c:v>
                </c:pt>
                <c:pt idx="5">
                  <c:v>1.1000000000000001</c:v>
                </c:pt>
                <c:pt idx="6">
                  <c:v>1.3</c:v>
                </c:pt>
                <c:pt idx="7">
                  <c:v>1.5</c:v>
                </c:pt>
                <c:pt idx="8">
                  <c:v>1.7</c:v>
                </c:pt>
                <c:pt idx="9">
                  <c:v>1.9</c:v>
                </c:pt>
                <c:pt idx="10">
                  <c:v>2.1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2.7</c:v>
                </c:pt>
                <c:pt idx="14">
                  <c:v>2.9</c:v>
                </c:pt>
                <c:pt idx="15">
                  <c:v>3.1</c:v>
                </c:pt>
                <c:pt idx="16">
                  <c:v>3.3</c:v>
                </c:pt>
              </c:numCache>
            </c:numRef>
          </c:xVal>
          <c:yVal>
            <c:numRef>
              <c:f>'141'!$I$5:$I$21</c:f>
              <c:numCache>
                <c:formatCode>0.0000</c:formatCode>
                <c:ptCount val="17"/>
                <c:pt idx="0">
                  <c:v>0</c:v>
                </c:pt>
                <c:pt idx="1">
                  <c:v>3.8800000000000001E-2</c:v>
                </c:pt>
                <c:pt idx="2">
                  <c:v>9.9299999999999999E-2</c:v>
                </c:pt>
                <c:pt idx="3">
                  <c:v>0.1666</c:v>
                </c:pt>
                <c:pt idx="4">
                  <c:v>0.2324</c:v>
                </c:pt>
                <c:pt idx="5">
                  <c:v>0.2908</c:v>
                </c:pt>
                <c:pt idx="6">
                  <c:v>0.33789999999999998</c:v>
                </c:pt>
                <c:pt idx="7">
                  <c:v>0.37119999999999997</c:v>
                </c:pt>
                <c:pt idx="8">
                  <c:v>0.3896</c:v>
                </c:pt>
                <c:pt idx="9">
                  <c:v>0.3931</c:v>
                </c:pt>
                <c:pt idx="10">
                  <c:v>0.38279999999999997</c:v>
                </c:pt>
                <c:pt idx="11">
                  <c:v>0.36099999999999999</c:v>
                </c:pt>
                <c:pt idx="12">
                  <c:v>0.33079999999999998</c:v>
                </c:pt>
                <c:pt idx="13">
                  <c:v>0.2959</c:v>
                </c:pt>
                <c:pt idx="14">
                  <c:v>0.26050000000000001</c:v>
                </c:pt>
                <c:pt idx="15">
                  <c:v>0.2288</c:v>
                </c:pt>
                <c:pt idx="16">
                  <c:v>0.20519999999999999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9FF0-46EE-BC84-664C465E3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568960"/>
        <c:axId val="258570880"/>
      </c:scatterChart>
      <c:valAx>
        <c:axId val="25856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570880"/>
        <c:crosses val="autoZero"/>
        <c:crossBetween val="midCat"/>
      </c:valAx>
      <c:valAx>
        <c:axId val="25857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8568960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381619</xdr:colOff>
      <xdr:row>1</xdr:row>
      <xdr:rowOff>94193</xdr:rowOff>
    </xdr:from>
    <xdr:to>
      <xdr:col>33</xdr:col>
      <xdr:colOff>249382</xdr:colOff>
      <xdr:row>37</xdr:row>
      <xdr:rowOff>41565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CB2D70D3-1499-449C-B9C0-D178BD707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387928</xdr:colOff>
      <xdr:row>38</xdr:row>
      <xdr:rowOff>69272</xdr:rowOff>
    </xdr:from>
    <xdr:to>
      <xdr:col>35</xdr:col>
      <xdr:colOff>110836</xdr:colOff>
      <xdr:row>73</xdr:row>
      <xdr:rowOff>143529</xdr:rowOff>
    </xdr:to>
    <xdr:graphicFrame macro="">
      <xdr:nvGraphicFramePr>
        <xdr:cNvPr id="5" name="Диаграмма 4">
          <a:extLst>
            <a:ext uri="{FF2B5EF4-FFF2-40B4-BE49-F238E27FC236}">
              <a16:creationId xmlns="" xmlns:a16="http://schemas.microsoft.com/office/drawing/2014/main" id="{81B30C52-5CA0-485A-BD2E-A573249B0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601266</xdr:colOff>
      <xdr:row>1</xdr:row>
      <xdr:rowOff>17460</xdr:rowOff>
    </xdr:from>
    <xdr:to>
      <xdr:col>28</xdr:col>
      <xdr:colOff>11076</xdr:colOff>
      <xdr:row>37</xdr:row>
      <xdr:rowOff>188283</xdr:rowOff>
    </xdr:to>
    <xdr:graphicFrame macro="">
      <xdr:nvGraphicFramePr>
        <xdr:cNvPr id="7" name="Диаграмма 6">
          <a:extLst>
            <a:ext uri="{FF2B5EF4-FFF2-40B4-BE49-F238E27FC236}">
              <a16:creationId xmlns="" xmlns:a16="http://schemas.microsoft.com/office/drawing/2014/main" id="{014656C6-8B8F-5B12-B6A9-0E09DD687B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45</xdr:row>
      <xdr:rowOff>0</xdr:rowOff>
    </xdr:from>
    <xdr:to>
      <xdr:col>28</xdr:col>
      <xdr:colOff>14776</xdr:colOff>
      <xdr:row>82</xdr:row>
      <xdr:rowOff>157951</xdr:rowOff>
    </xdr:to>
    <xdr:graphicFrame macro="">
      <xdr:nvGraphicFramePr>
        <xdr:cNvPr id="8" name="Диаграмма 7">
          <a:extLst>
            <a:ext uri="{FF2B5EF4-FFF2-40B4-BE49-F238E27FC236}">
              <a16:creationId xmlns="" xmlns:a16="http://schemas.microsoft.com/office/drawing/2014/main" id="{6D1F444A-8A3D-44A8-9865-B53D55A84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2983/Downloads/Telegram%20Desktop/&#1079;_&#1050;&#1086;&#1096;&#1080;%20&#1076;&#1083;&#1103;%20&#1054;&#1044;&#1059;%20-%20&#1054;&#1073;&#1088;&#1072;&#1079;&#1077;&#1094;%201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илиппов №63"/>
      <sheetName val="Филиппов №141"/>
      <sheetName val="Филиппов №167"/>
    </sheetNames>
    <sheetDataSet>
      <sheetData sheetId="0">
        <row r="5">
          <cell r="A5">
            <v>0</v>
          </cell>
          <cell r="D5">
            <v>0</v>
          </cell>
          <cell r="F5">
            <v>0</v>
          </cell>
          <cell r="I5">
            <v>0</v>
          </cell>
        </row>
        <row r="6">
          <cell r="A6">
            <v>0.1</v>
          </cell>
          <cell r="D6">
            <v>1.7091807564773021E-4</v>
          </cell>
          <cell r="F6">
            <v>0.2</v>
          </cell>
          <cell r="I6">
            <v>1.4027581601696593E-3</v>
          </cell>
        </row>
        <row r="7">
          <cell r="A7">
            <v>0.2</v>
          </cell>
          <cell r="D7">
            <v>3.7275816016979491E-4</v>
          </cell>
          <cell r="F7">
            <v>0.4</v>
          </cell>
          <cell r="I7">
            <v>3.4246976412704022E-3</v>
          </cell>
        </row>
        <row r="8">
          <cell r="A8">
            <v>0.3</v>
          </cell>
          <cell r="D8">
            <v>6.2880757600303205E-4</v>
          </cell>
          <cell r="F8">
            <v>0.6</v>
          </cell>
          <cell r="I8">
            <v>6.2688003905089218E-3</v>
          </cell>
        </row>
        <row r="9">
          <cell r="A9">
            <v>0.4</v>
          </cell>
          <cell r="D9">
            <v>9.2469764127023346E-4</v>
          </cell>
          <cell r="F9">
            <v>0.8</v>
          </cell>
          <cell r="I9">
            <v>1.0210928492467852E-2</v>
          </cell>
        </row>
        <row r="10">
          <cell r="A10">
            <v>0.5</v>
          </cell>
          <cell r="D10">
            <v>1.2712707001281132E-3</v>
          </cell>
          <cell r="F10">
            <v>1</v>
          </cell>
          <cell r="I10">
            <v>1.5571828459045145E-2</v>
          </cell>
        </row>
        <row r="11">
          <cell r="A11">
            <v>0.6</v>
          </cell>
          <cell r="D11">
            <v>1.6888003905088933E-3</v>
          </cell>
          <cell r="F11">
            <v>1.2</v>
          </cell>
          <cell r="I11">
            <v>2.281692273654734E-2</v>
          </cell>
        </row>
        <row r="12">
          <cell r="A12">
            <v>0.7</v>
          </cell>
          <cell r="D12">
            <v>2.1827074704767746E-3</v>
          </cell>
          <cell r="F12">
            <v>1.4</v>
          </cell>
          <cell r="I12">
            <v>3.2489966844674534E-2</v>
          </cell>
        </row>
        <row r="13">
          <cell r="A13">
            <v>0.8</v>
          </cell>
          <cell r="D13">
            <v>2.7509284924678301E-3</v>
          </cell>
          <cell r="F13">
            <v>1.6</v>
          </cell>
          <cell r="I13">
            <v>4.5322424395114691E-2</v>
          </cell>
        </row>
        <row r="14">
          <cell r="A14">
            <v>0.9</v>
          </cell>
          <cell r="D14">
            <v>3.4231111569498207E-3</v>
          </cell>
          <cell r="F14">
            <v>1.8</v>
          </cell>
          <cell r="I14">
            <v>6.2247464412946485E-2</v>
          </cell>
        </row>
        <row r="15">
          <cell r="A15">
            <v>1</v>
          </cell>
          <cell r="D15">
            <v>4.2018284590450428E-3</v>
          </cell>
          <cell r="F15">
            <v>2</v>
          </cell>
          <cell r="I15">
            <v>8.4426098930650006E-2</v>
          </cell>
        </row>
        <row r="16">
          <cell r="A16">
            <v>1.1000000000000001</v>
          </cell>
          <cell r="D16">
            <v>5.1060239464331136E-3</v>
          </cell>
          <cell r="F16">
            <v>2.2000000000000002</v>
          </cell>
          <cell r="I16">
            <v>0.11336349943412127</v>
          </cell>
        </row>
        <row r="17">
          <cell r="A17">
            <v>1.2</v>
          </cell>
          <cell r="D17">
            <v>6.1569227365472212E-3</v>
          </cell>
          <cell r="F17">
            <v>2.4</v>
          </cell>
          <cell r="I17">
            <v>0.15096638064160128</v>
          </cell>
        </row>
        <row r="18">
          <cell r="A18">
            <v>1.3</v>
          </cell>
          <cell r="D18">
            <v>7.3666676192445379E-3</v>
          </cell>
          <cell r="F18">
            <v>2.6</v>
          </cell>
          <cell r="I18">
            <v>0.19963803500169064</v>
          </cell>
        </row>
        <row r="19">
          <cell r="A19">
            <v>1.4</v>
          </cell>
          <cell r="D19">
            <v>8.7699668446745704E-3</v>
          </cell>
          <cell r="F19">
            <v>2.8</v>
          </cell>
          <cell r="I19">
            <v>0.26244677109704817</v>
          </cell>
        </row>
        <row r="20">
          <cell r="A20">
            <v>1.5</v>
          </cell>
          <cell r="D20">
            <v>1.0389070338064688E-2</v>
          </cell>
          <cell r="F20">
            <v>3</v>
          </cell>
          <cell r="I20">
            <v>0.34323692318766774</v>
          </cell>
        </row>
        <row r="21">
          <cell r="A21">
            <v>1.6</v>
          </cell>
          <cell r="D21">
            <v>1.2242424395114693E-2</v>
          </cell>
          <cell r="F21">
            <v>3.2</v>
          </cell>
          <cell r="I21">
            <v>0.44693019710935289</v>
          </cell>
        </row>
        <row r="22">
          <cell r="A22">
            <v>1.7</v>
          </cell>
          <cell r="D22">
            <v>1.4377391727200095E-2</v>
          </cell>
          <cell r="F22">
            <v>3.4</v>
          </cell>
          <cell r="I22">
            <v>0.57970004739701153</v>
          </cell>
        </row>
        <row r="23">
          <cell r="A23">
            <v>1.8</v>
          </cell>
          <cell r="D23">
            <v>1.6817464412946403E-2</v>
          </cell>
          <cell r="F23">
            <v>3.6</v>
          </cell>
          <cell r="I23">
            <v>0.74923444367798808</v>
          </cell>
        </row>
        <row r="24">
          <cell r="A24">
            <v>1.9</v>
          </cell>
          <cell r="D24">
            <v>1.9614442279268562E-2</v>
          </cell>
          <cell r="F24">
            <v>3.8</v>
          </cell>
          <cell r="I24">
            <v>0.96538449330081022</v>
          </cell>
        </row>
        <row r="25">
          <cell r="A25">
            <v>2</v>
          </cell>
          <cell r="D25">
            <v>2.2826098930650573E-2</v>
          </cell>
          <cell r="F25">
            <v>4</v>
          </cell>
          <cell r="I25">
            <v>1.2405500331442383</v>
          </cell>
        </row>
        <row r="26">
          <cell r="A26">
            <v>2.1</v>
          </cell>
          <cell r="D26">
            <v>2.6479912567651809E-2</v>
          </cell>
          <cell r="F26">
            <v>4.2</v>
          </cell>
          <cell r="I26">
            <v>1.5900310409251546</v>
          </cell>
        </row>
        <row r="27">
          <cell r="A27">
            <v>2.2000000000000002</v>
          </cell>
          <cell r="D27">
            <v>3.0653499434121656E-2</v>
          </cell>
          <cell r="F27">
            <v>4.4000000000000004</v>
          </cell>
          <cell r="I27">
            <v>2.0333686649681368</v>
          </cell>
        </row>
        <row r="28">
          <cell r="A28">
            <v>2.2999999999999998</v>
          </cell>
          <cell r="D28">
            <v>3.542245481471884E-2</v>
          </cell>
          <cell r="F28">
            <v>4.5999999999999996</v>
          </cell>
          <cell r="I28">
            <v>2.5949156419337669</v>
          </cell>
        </row>
        <row r="29">
          <cell r="A29">
            <v>2.4</v>
          </cell>
          <cell r="D29">
            <v>4.0846380641601066E-2</v>
          </cell>
          <cell r="F29">
            <v>4.8</v>
          </cell>
          <cell r="I29">
            <v>3.3054175187348562</v>
          </cell>
        </row>
        <row r="30">
          <cell r="A30">
            <v>2.5</v>
          </cell>
          <cell r="D30">
            <v>4.7013960703473856E-2</v>
          </cell>
          <cell r="F30">
            <v>5</v>
          </cell>
          <cell r="I30">
            <v>4.203159102576592</v>
          </cell>
        </row>
        <row r="31">
          <cell r="A31">
            <v>2.6</v>
          </cell>
          <cell r="D31">
            <v>5.4028035001691066E-2</v>
          </cell>
        </row>
        <row r="32">
          <cell r="A32">
            <v>2.7</v>
          </cell>
          <cell r="D32">
            <v>6.2031724872836591E-2</v>
          </cell>
        </row>
        <row r="33">
          <cell r="A33">
            <v>2.8</v>
          </cell>
          <cell r="D33">
            <v>7.1046771097048378E-2</v>
          </cell>
        </row>
        <row r="34">
          <cell r="A34">
            <v>2.9</v>
          </cell>
          <cell r="D34">
            <v>8.1345369443059923E-2</v>
          </cell>
        </row>
        <row r="35">
          <cell r="A35">
            <v>3</v>
          </cell>
          <cell r="D35">
            <v>9.2936923187668441E-2</v>
          </cell>
        </row>
        <row r="36">
          <cell r="A36">
            <v>3.1</v>
          </cell>
          <cell r="D36">
            <v>0.10615128144163677</v>
          </cell>
        </row>
        <row r="37">
          <cell r="A37">
            <v>3.2</v>
          </cell>
          <cell r="D37">
            <v>0.12113019710935546</v>
          </cell>
        </row>
        <row r="38">
          <cell r="A38">
            <v>3.3</v>
          </cell>
          <cell r="D38">
            <v>0.13803892065788403</v>
          </cell>
        </row>
        <row r="39">
          <cell r="A39">
            <v>3.4</v>
          </cell>
          <cell r="D39">
            <v>0.15720004739700855</v>
          </cell>
        </row>
        <row r="40">
          <cell r="A40">
            <v>3.5</v>
          </cell>
          <cell r="D40">
            <v>0.1787519586923132</v>
          </cell>
        </row>
        <row r="41">
          <cell r="A41">
            <v>3.6</v>
          </cell>
          <cell r="D41">
            <v>0.20323444367798871</v>
          </cell>
        </row>
        <row r="42">
          <cell r="A42">
            <v>3.7</v>
          </cell>
          <cell r="D42">
            <v>0.23080436006740257</v>
          </cell>
        </row>
        <row r="43">
          <cell r="A43">
            <v>3.8</v>
          </cell>
          <cell r="D43">
            <v>0.2619844933008153</v>
          </cell>
        </row>
        <row r="44">
          <cell r="A44">
            <v>3.9</v>
          </cell>
          <cell r="D44">
            <v>0.29704910553017072</v>
          </cell>
        </row>
        <row r="45">
          <cell r="A45">
            <v>4</v>
          </cell>
          <cell r="D45">
            <v>0.33675003314423435</v>
          </cell>
        </row>
        <row r="46">
          <cell r="A46">
            <v>4.0999999999999996</v>
          </cell>
          <cell r="D46">
            <v>0.38138759736195027</v>
          </cell>
        </row>
        <row r="47">
          <cell r="A47">
            <v>4.2</v>
          </cell>
          <cell r="D47">
            <v>0.43183104092515379</v>
          </cell>
        </row>
        <row r="48">
          <cell r="A48">
            <v>4.3</v>
          </cell>
          <cell r="D48">
            <v>0.48849369959579292</v>
          </cell>
        </row>
        <row r="49">
          <cell r="A49">
            <v>4.4000000000000004</v>
          </cell>
          <cell r="D49">
            <v>0.5523686649681423</v>
          </cell>
        </row>
        <row r="50">
          <cell r="A50">
            <v>4.5</v>
          </cell>
          <cell r="D50">
            <v>0.62433130052181696</v>
          </cell>
        </row>
        <row r="51">
          <cell r="A51">
            <v>4.5999999999999996</v>
          </cell>
          <cell r="D51">
            <v>0.7053156419337796</v>
          </cell>
        </row>
        <row r="52">
          <cell r="A52">
            <v>4.7</v>
          </cell>
          <cell r="D52">
            <v>0.79617245212351406</v>
          </cell>
        </row>
        <row r="53">
          <cell r="A53">
            <v>4.8</v>
          </cell>
          <cell r="D53">
            <v>0.89841751873485975</v>
          </cell>
        </row>
        <row r="54">
          <cell r="A54">
            <v>4.9000000000000004</v>
          </cell>
          <cell r="D54">
            <v>1.0137796849355283</v>
          </cell>
        </row>
        <row r="55">
          <cell r="A55">
            <v>5</v>
          </cell>
          <cell r="D55">
            <v>1.1431591025765897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tabSelected="1" zoomScale="40" zoomScaleNormal="40" workbookViewId="0">
      <selection activeCell="K20" sqref="K20"/>
    </sheetView>
  </sheetViews>
  <sheetFormatPr defaultRowHeight="14.4" x14ac:dyDescent="0.3"/>
  <cols>
    <col min="1" max="1" width="8.5546875" style="2" customWidth="1"/>
    <col min="2" max="4" width="14.33203125" style="2" customWidth="1"/>
    <col min="5" max="5" width="7.6640625" style="2" customWidth="1"/>
    <col min="6" max="6" width="9.21875" style="2" customWidth="1"/>
    <col min="7" max="8" width="14.33203125" style="2" customWidth="1"/>
    <col min="9" max="9" width="15.6640625" style="2" customWidth="1"/>
  </cols>
  <sheetData>
    <row r="1" spans="1:19" x14ac:dyDescent="0.3">
      <c r="A1" s="49" t="s">
        <v>15</v>
      </c>
      <c r="B1" s="50"/>
      <c r="C1" s="53" t="s">
        <v>16</v>
      </c>
      <c r="D1" s="54"/>
      <c r="E1" s="3"/>
      <c r="F1" s="49" t="s">
        <v>17</v>
      </c>
      <c r="G1" s="50"/>
      <c r="H1" s="57" t="s">
        <v>18</v>
      </c>
      <c r="I1" s="54"/>
    </row>
    <row r="2" spans="1:19" ht="15" customHeight="1" x14ac:dyDescent="0.3">
      <c r="A2" s="51"/>
      <c r="B2" s="52"/>
      <c r="C2" s="55"/>
      <c r="D2" s="56"/>
      <c r="E2" s="3"/>
      <c r="F2" s="51"/>
      <c r="G2" s="52"/>
      <c r="H2" s="58"/>
      <c r="I2" s="56"/>
    </row>
    <row r="3" spans="1:19" ht="15.6" x14ac:dyDescent="0.3">
      <c r="A3" s="17" t="s">
        <v>0</v>
      </c>
      <c r="B3" s="18" t="s">
        <v>1</v>
      </c>
      <c r="C3" s="19" t="s">
        <v>19</v>
      </c>
      <c r="D3" s="20" t="s">
        <v>2</v>
      </c>
      <c r="F3" s="13" t="s">
        <v>0</v>
      </c>
      <c r="G3" s="14" t="s">
        <v>1</v>
      </c>
      <c r="H3" s="15" t="s">
        <v>19</v>
      </c>
      <c r="I3" s="16" t="s">
        <v>2</v>
      </c>
    </row>
    <row r="4" spans="1:19" s="2" customFormat="1" x14ac:dyDescent="0.3">
      <c r="A4" s="10">
        <v>0.1</v>
      </c>
      <c r="B4" s="41">
        <v>1.9051709999999999</v>
      </c>
      <c r="C4" s="41">
        <v>1.9051709999999999</v>
      </c>
      <c r="D4" s="42">
        <v>0</v>
      </c>
      <c r="F4" s="32">
        <v>0.1</v>
      </c>
      <c r="G4" s="35">
        <v>1.9051709999999999</v>
      </c>
      <c r="H4" s="35">
        <v>1.9051709999999999</v>
      </c>
      <c r="I4" s="36">
        <v>0</v>
      </c>
      <c r="N4" s="8"/>
      <c r="O4" s="8"/>
      <c r="P4" s="8"/>
      <c r="Q4" s="8"/>
      <c r="R4" s="8"/>
      <c r="S4" s="8"/>
    </row>
    <row r="5" spans="1:19" x14ac:dyDescent="0.3">
      <c r="A5" s="12">
        <v>0.2</v>
      </c>
      <c r="B5" s="39">
        <v>1.815688</v>
      </c>
      <c r="C5" s="39">
        <v>1.815688</v>
      </c>
      <c r="D5" s="40">
        <v>5.7149999999999996E-3</v>
      </c>
      <c r="F5" s="33">
        <v>0.3</v>
      </c>
      <c r="G5" s="37">
        <v>1.726205</v>
      </c>
      <c r="H5" s="37">
        <v>1.7498590000000001</v>
      </c>
      <c r="I5" s="38">
        <v>2.3654000000000001E-2</v>
      </c>
    </row>
    <row r="6" spans="1:19" x14ac:dyDescent="0.3">
      <c r="A6" s="11">
        <v>0.3</v>
      </c>
      <c r="B6" s="37">
        <v>1.7372570000000001</v>
      </c>
      <c r="C6" s="37">
        <v>1.7372570000000001</v>
      </c>
      <c r="D6" s="38">
        <v>1.2602E-2</v>
      </c>
      <c r="F6" s="34">
        <v>0.5</v>
      </c>
      <c r="G6" s="39">
        <v>1.5914459999999999</v>
      </c>
      <c r="H6" s="39">
        <v>1.6487210000000001</v>
      </c>
      <c r="I6" s="40">
        <v>5.7275E-2</v>
      </c>
    </row>
    <row r="7" spans="1:19" x14ac:dyDescent="0.3">
      <c r="A7" s="12">
        <v>0.4</v>
      </c>
      <c r="B7" s="39">
        <v>1.6709830000000001</v>
      </c>
      <c r="C7" s="39">
        <v>1.6709830000000001</v>
      </c>
      <c r="D7" s="40">
        <v>2.0841999999999999E-2</v>
      </c>
      <c r="F7" s="33">
        <v>0.7</v>
      </c>
      <c r="G7" s="37">
        <v>1.509735</v>
      </c>
      <c r="H7" s="37">
        <v>1.613753</v>
      </c>
      <c r="I7" s="38">
        <v>0.104017</v>
      </c>
    </row>
    <row r="8" spans="1:19" x14ac:dyDescent="0.3">
      <c r="A8" s="11">
        <v>0.5</v>
      </c>
      <c r="B8" s="37">
        <v>1.6180810000000001</v>
      </c>
      <c r="C8" s="37">
        <v>1.6180810000000001</v>
      </c>
      <c r="D8" s="38">
        <v>3.0640000000000001E-2</v>
      </c>
      <c r="F8" s="34">
        <v>0.9</v>
      </c>
      <c r="G8" s="39">
        <v>1.4916830000000001</v>
      </c>
      <c r="H8" s="39">
        <v>1.6596029999999999</v>
      </c>
      <c r="I8" s="40">
        <v>0.16792099999999999</v>
      </c>
    </row>
    <row r="9" spans="1:19" x14ac:dyDescent="0.3">
      <c r="A9" s="12">
        <v>0.6</v>
      </c>
      <c r="B9" s="39">
        <v>1.5798890000000001</v>
      </c>
      <c r="C9" s="39">
        <v>1.5798890000000001</v>
      </c>
      <c r="D9" s="40">
        <v>4.2229999999999997E-2</v>
      </c>
      <c r="F9" s="33">
        <v>1.1000000000000001</v>
      </c>
      <c r="G9" s="37">
        <v>1.550019</v>
      </c>
      <c r="H9" s="37">
        <v>1.8041659999999999</v>
      </c>
      <c r="I9" s="38">
        <v>0.25414700000000001</v>
      </c>
    </row>
    <row r="10" spans="1:19" x14ac:dyDescent="0.3">
      <c r="A10" s="11">
        <v>0.7</v>
      </c>
      <c r="B10" s="37">
        <v>1.5578780000000001</v>
      </c>
      <c r="C10" s="37">
        <v>1.5578780000000001</v>
      </c>
      <c r="D10" s="38">
        <v>5.5875000000000001E-2</v>
      </c>
      <c r="F10" s="34">
        <v>1.3</v>
      </c>
      <c r="G10" s="39">
        <v>1.7000230000000001</v>
      </c>
      <c r="H10" s="39">
        <v>2.0692970000000002</v>
      </c>
      <c r="I10" s="40">
        <v>0.36927399999999999</v>
      </c>
    </row>
    <row r="11" spans="1:19" x14ac:dyDescent="0.3">
      <c r="A11" s="12">
        <v>0.8</v>
      </c>
      <c r="B11" s="39">
        <v>1.553666</v>
      </c>
      <c r="C11" s="39">
        <v>1.553666</v>
      </c>
      <c r="D11" s="40">
        <v>7.1874999999999994E-2</v>
      </c>
      <c r="F11" s="33">
        <v>1.5</v>
      </c>
      <c r="G11" s="37">
        <v>1.9600280000000001</v>
      </c>
      <c r="H11" s="37">
        <v>2.4816889999999998</v>
      </c>
      <c r="I11" s="38">
        <v>0.52166199999999996</v>
      </c>
    </row>
    <row r="12" spans="1:19" x14ac:dyDescent="0.3">
      <c r="A12" s="11">
        <v>0.9</v>
      </c>
      <c r="B12" s="37">
        <v>1.569032</v>
      </c>
      <c r="C12" s="37">
        <v>1.569032</v>
      </c>
      <c r="D12" s="38">
        <v>9.0570999999999999E-2</v>
      </c>
      <c r="F12" s="34">
        <v>1.7</v>
      </c>
      <c r="G12" s="39">
        <v>2.352033</v>
      </c>
      <c r="H12" s="39">
        <v>3.073947</v>
      </c>
      <c r="I12" s="40">
        <v>0.72191399999999994</v>
      </c>
    </row>
    <row r="13" spans="1:19" x14ac:dyDescent="0.3">
      <c r="A13" s="12">
        <v>1</v>
      </c>
      <c r="B13" s="39">
        <v>1.6059349999999999</v>
      </c>
      <c r="C13" s="39">
        <v>1.6059349999999999</v>
      </c>
      <c r="D13" s="40">
        <v>0.112346</v>
      </c>
      <c r="F13" s="33">
        <v>1.9</v>
      </c>
      <c r="G13" s="37">
        <v>2.9024399999999999</v>
      </c>
      <c r="H13" s="37">
        <v>3.885894</v>
      </c>
      <c r="I13" s="38">
        <v>0.98345499999999997</v>
      </c>
    </row>
    <row r="14" spans="1:19" x14ac:dyDescent="0.3">
      <c r="A14" s="11">
        <v>1.1000000000000001</v>
      </c>
      <c r="B14" s="37">
        <v>1.6665289999999999</v>
      </c>
      <c r="C14" s="37">
        <v>1.6665289999999999</v>
      </c>
      <c r="D14" s="38">
        <v>0.13763700000000001</v>
      </c>
      <c r="F14" s="34">
        <v>2.1</v>
      </c>
      <c r="G14" s="39">
        <v>3.6429279999999999</v>
      </c>
      <c r="H14" s="39">
        <v>4.96617</v>
      </c>
      <c r="I14" s="40">
        <v>1.323242</v>
      </c>
    </row>
    <row r="15" spans="1:19" x14ac:dyDescent="0.3">
      <c r="A15" s="12">
        <v>1.2</v>
      </c>
      <c r="B15" s="39">
        <v>1.753182</v>
      </c>
      <c r="C15" s="39">
        <v>1.753182</v>
      </c>
      <c r="D15" s="40">
        <v>0.166935</v>
      </c>
      <c r="F15" s="33">
        <v>2.2999999999999998</v>
      </c>
      <c r="G15" s="37">
        <v>4.6115130000000004</v>
      </c>
      <c r="H15" s="37">
        <v>6.3741820000000002</v>
      </c>
      <c r="I15" s="38">
        <v>1.762669</v>
      </c>
    </row>
    <row r="16" spans="1:19" x14ac:dyDescent="0.3">
      <c r="A16" s="11">
        <v>1.3</v>
      </c>
      <c r="B16" s="37">
        <v>1.8685</v>
      </c>
      <c r="C16" s="37">
        <v>1.8685</v>
      </c>
      <c r="D16" s="38">
        <v>0.200797</v>
      </c>
      <c r="F16" s="34">
        <v>2.5</v>
      </c>
      <c r="G16" s="39">
        <v>5.8538160000000001</v>
      </c>
      <c r="H16" s="39">
        <v>8.1824940000000002</v>
      </c>
      <c r="I16" s="40">
        <v>2.328678</v>
      </c>
    </row>
    <row r="17" spans="1:10" x14ac:dyDescent="0.3">
      <c r="A17" s="12">
        <v>1.4</v>
      </c>
      <c r="B17" s="39">
        <v>2.0153500000000002</v>
      </c>
      <c r="C17" s="39">
        <v>2.0153500000000002</v>
      </c>
      <c r="D17" s="40">
        <v>0.23985000000000001</v>
      </c>
      <c r="F17" s="33">
        <v>2.7</v>
      </c>
      <c r="G17" s="37">
        <v>7.4245789999999996</v>
      </c>
      <c r="H17" s="37">
        <v>10.479732</v>
      </c>
      <c r="I17" s="38">
        <v>3.0551529999999998</v>
      </c>
    </row>
    <row r="18" spans="1:10" x14ac:dyDescent="0.3">
      <c r="A18" s="11">
        <v>1.5</v>
      </c>
      <c r="B18" s="37">
        <v>2.196885</v>
      </c>
      <c r="C18" s="37">
        <v>2.196885</v>
      </c>
      <c r="D18" s="38">
        <v>0.284804</v>
      </c>
      <c r="F18" s="34">
        <v>2.9</v>
      </c>
      <c r="G18" s="39">
        <v>9.3894950000000001</v>
      </c>
      <c r="H18" s="39">
        <v>13.374145</v>
      </c>
      <c r="I18" s="40">
        <v>3.9846509999999999</v>
      </c>
    </row>
    <row r="19" spans="1:10" x14ac:dyDescent="0.3">
      <c r="A19" s="12">
        <v>1.6</v>
      </c>
      <c r="B19" s="39">
        <v>2.4165740000000002</v>
      </c>
      <c r="C19" s="39">
        <v>2.4165740000000002</v>
      </c>
      <c r="D19" s="40">
        <v>0.33645900000000001</v>
      </c>
      <c r="F19" s="33">
        <v>3.1</v>
      </c>
      <c r="G19" s="37">
        <v>11.827393000000001</v>
      </c>
      <c r="H19" s="37">
        <v>16.997951</v>
      </c>
      <c r="I19" s="38">
        <v>5.1705579999999998</v>
      </c>
    </row>
    <row r="20" spans="1:10" x14ac:dyDescent="0.3">
      <c r="A20" s="11">
        <v>1.7</v>
      </c>
      <c r="B20" s="37">
        <v>2.6782309999999998</v>
      </c>
      <c r="C20" s="37">
        <v>2.6782309999999998</v>
      </c>
      <c r="D20" s="38">
        <v>0.39571699999999999</v>
      </c>
      <c r="F20" s="34">
        <v>3.3</v>
      </c>
      <c r="G20" s="39">
        <v>14.832872</v>
      </c>
      <c r="H20" s="39">
        <v>21.512639</v>
      </c>
      <c r="I20" s="40">
        <v>6.679767</v>
      </c>
    </row>
    <row r="21" spans="1:10" x14ac:dyDescent="0.3">
      <c r="A21" s="12">
        <v>1.8</v>
      </c>
      <c r="B21" s="39">
        <v>2.9860540000000002</v>
      </c>
      <c r="C21" s="39">
        <v>2.9860540000000002</v>
      </c>
      <c r="D21" s="40">
        <v>0.46359299999999998</v>
      </c>
      <c r="F21" s="33">
        <v>3.5</v>
      </c>
      <c r="G21" s="37">
        <v>18.519447</v>
      </c>
      <c r="H21" s="37">
        <v>27.115452000000001</v>
      </c>
      <c r="I21" s="38">
        <v>8.5960049999999999</v>
      </c>
    </row>
    <row r="22" spans="1:10" x14ac:dyDescent="0.3">
      <c r="A22" s="11">
        <v>1.9</v>
      </c>
      <c r="B22" s="37">
        <v>3.344659</v>
      </c>
      <c r="C22" s="37">
        <v>3.344659</v>
      </c>
      <c r="D22" s="38">
        <v>0.54123500000000002</v>
      </c>
      <c r="F22" s="34">
        <v>3.7</v>
      </c>
      <c r="G22" s="39">
        <v>23.023336</v>
      </c>
      <c r="H22" s="39">
        <v>34.047303999999997</v>
      </c>
      <c r="I22" s="40">
        <v>11.023968</v>
      </c>
    </row>
    <row r="23" spans="1:10" x14ac:dyDescent="0.3">
      <c r="A23" s="12">
        <v>2</v>
      </c>
      <c r="B23" s="39">
        <v>3.759125</v>
      </c>
      <c r="C23" s="39">
        <v>3.759125</v>
      </c>
      <c r="D23" s="40">
        <v>0.62993100000000002</v>
      </c>
      <c r="F23" s="33">
        <v>3.9</v>
      </c>
      <c r="G23" s="37">
        <v>28.508002999999999</v>
      </c>
      <c r="H23" s="37">
        <v>42.602449</v>
      </c>
      <c r="I23" s="38">
        <v>14.094446</v>
      </c>
    </row>
    <row r="24" spans="1:10" x14ac:dyDescent="0.3">
      <c r="A24" s="11">
        <v>2.1</v>
      </c>
      <c r="B24" s="37">
        <v>4.2350380000000003</v>
      </c>
      <c r="C24" s="37">
        <v>4.2350380000000003</v>
      </c>
      <c r="D24" s="38">
        <v>0.731132</v>
      </c>
      <c r="F24" s="34">
        <v>4.0999999999999996</v>
      </c>
      <c r="G24" s="39">
        <v>35.169604</v>
      </c>
      <c r="H24" s="39">
        <v>53.140287999999998</v>
      </c>
      <c r="I24" s="40">
        <v>17.970683999999999</v>
      </c>
    </row>
    <row r="25" spans="1:10" x14ac:dyDescent="0.3">
      <c r="A25" s="12">
        <v>2.2000000000000002</v>
      </c>
      <c r="B25" s="39">
        <v>4.7785419999999998</v>
      </c>
      <c r="C25" s="39">
        <v>4.7785419999999998</v>
      </c>
      <c r="D25" s="40">
        <v>0.846472</v>
      </c>
      <c r="F25" s="33">
        <v>4.3</v>
      </c>
      <c r="G25" s="37">
        <v>43.243524000000001</v>
      </c>
      <c r="H25" s="37">
        <v>66.099794000000003</v>
      </c>
      <c r="I25" s="38">
        <v>22.856269000000001</v>
      </c>
    </row>
    <row r="26" spans="1:10" x14ac:dyDescent="0.3">
      <c r="A26" s="11">
        <v>2.2999999999999998</v>
      </c>
      <c r="B26" s="37">
        <v>5.3963960000000002</v>
      </c>
      <c r="C26" s="37">
        <v>5.3963960000000002</v>
      </c>
      <c r="D26" s="38">
        <v>0.97778699999999996</v>
      </c>
      <c r="F26" s="34">
        <v>4.5</v>
      </c>
      <c r="G26" s="39">
        <v>53.012228999999998</v>
      </c>
      <c r="H26" s="39">
        <v>82.017131000000006</v>
      </c>
      <c r="I26" s="40">
        <v>29.004902000000001</v>
      </c>
    </row>
    <row r="27" spans="1:10" x14ac:dyDescent="0.3">
      <c r="A27" s="12">
        <v>2.4</v>
      </c>
      <c r="B27" s="39">
        <v>6.0960349999999996</v>
      </c>
      <c r="C27" s="39">
        <v>6.0960349999999996</v>
      </c>
      <c r="D27" s="40">
        <v>1.1271409999999999</v>
      </c>
      <c r="F27" s="33">
        <v>4.7</v>
      </c>
      <c r="G27" s="37">
        <v>64.814674999999994</v>
      </c>
      <c r="H27" s="37">
        <v>101.547172</v>
      </c>
      <c r="I27" s="38">
        <v>36.732497000000002</v>
      </c>
    </row>
    <row r="28" spans="1:10" x14ac:dyDescent="0.3">
      <c r="A28" s="11">
        <v>2.5</v>
      </c>
      <c r="B28" s="37">
        <v>6.8856390000000003</v>
      </c>
      <c r="C28" s="37">
        <v>6.8856390000000003</v>
      </c>
      <c r="D28" s="38">
        <v>1.2968550000000001</v>
      </c>
      <c r="F28" s="34">
        <v>4.9000000000000004</v>
      </c>
      <c r="G28" s="39">
        <v>79.057609999999997</v>
      </c>
      <c r="H28" s="39">
        <v>125.48978</v>
      </c>
      <c r="I28" s="40">
        <v>46.432169999999999</v>
      </c>
    </row>
    <row r="29" spans="1:10" x14ac:dyDescent="0.3">
      <c r="A29" s="12">
        <v>2.6</v>
      </c>
      <c r="B29" s="39">
        <v>7.774203</v>
      </c>
      <c r="C29" s="39">
        <v>7.774203</v>
      </c>
      <c r="D29" s="40">
        <v>1.4895350000000001</v>
      </c>
      <c r="F29" s="33"/>
      <c r="G29" s="37"/>
      <c r="H29" s="37"/>
      <c r="I29" s="38"/>
    </row>
    <row r="30" spans="1:10" x14ac:dyDescent="0.3">
      <c r="A30" s="11">
        <v>2.7</v>
      </c>
      <c r="B30" s="37">
        <v>8.7716229999999999</v>
      </c>
      <c r="C30" s="37">
        <v>8.7716229999999999</v>
      </c>
      <c r="D30" s="38">
        <v>1.7081090000000001</v>
      </c>
      <c r="F30" s="9"/>
      <c r="G30" s="9"/>
      <c r="H30" s="9"/>
      <c r="I30" s="9"/>
    </row>
    <row r="31" spans="1:10" x14ac:dyDescent="0.3">
      <c r="A31" s="12">
        <v>2.8</v>
      </c>
      <c r="B31" s="39">
        <v>9.8887850000000004</v>
      </c>
      <c r="C31" s="39">
        <v>9.8887850000000004</v>
      </c>
      <c r="D31" s="40">
        <v>1.9558610000000001</v>
      </c>
      <c r="F31" s="9"/>
      <c r="G31" s="9"/>
      <c r="H31" s="9"/>
      <c r="I31" s="9"/>
    </row>
    <row r="32" spans="1:10" x14ac:dyDescent="0.3">
      <c r="A32" s="11">
        <v>2.9</v>
      </c>
      <c r="B32" s="37">
        <v>11.137663999999999</v>
      </c>
      <c r="C32" s="37">
        <v>11.137663999999999</v>
      </c>
      <c r="D32" s="38">
        <v>2.2364809999999999</v>
      </c>
      <c r="F32" s="9"/>
      <c r="G32" s="9"/>
      <c r="H32" s="9"/>
      <c r="I32" s="9"/>
      <c r="J32" s="9"/>
    </row>
    <row r="33" spans="1:16" ht="15.75" customHeight="1" x14ac:dyDescent="0.3">
      <c r="A33" s="12">
        <v>3</v>
      </c>
      <c r="B33" s="39">
        <v>12.53143</v>
      </c>
      <c r="C33" s="39">
        <v>12.53143</v>
      </c>
      <c r="D33" s="40">
        <v>2.5541070000000001</v>
      </c>
      <c r="F33" s="9"/>
      <c r="G33" s="9"/>
      <c r="H33" s="9"/>
      <c r="I33" s="9"/>
      <c r="J33" s="9"/>
    </row>
    <row r="34" spans="1:16" ht="15.75" customHeight="1" x14ac:dyDescent="0.3">
      <c r="A34" s="11">
        <v>3.1</v>
      </c>
      <c r="B34" s="37">
        <v>14.084573000000001</v>
      </c>
      <c r="C34" s="37">
        <v>14.084573000000001</v>
      </c>
      <c r="D34" s="38">
        <v>2.9133779999999998</v>
      </c>
      <c r="F34" s="9"/>
      <c r="G34" s="9"/>
      <c r="J34" s="9"/>
      <c r="N34" s="2"/>
    </row>
    <row r="35" spans="1:16" x14ac:dyDescent="0.3">
      <c r="A35" s="12">
        <v>3.2</v>
      </c>
      <c r="B35" s="39">
        <v>15.813031000000001</v>
      </c>
      <c r="C35" s="39">
        <v>15.813031000000001</v>
      </c>
      <c r="D35" s="40">
        <v>3.3195000000000001</v>
      </c>
      <c r="F35" s="9"/>
      <c r="G35" s="9"/>
      <c r="N35" s="2"/>
    </row>
    <row r="36" spans="1:16" x14ac:dyDescent="0.3">
      <c r="A36" s="11">
        <v>3.3</v>
      </c>
      <c r="B36" s="37">
        <v>17.734334</v>
      </c>
      <c r="C36" s="37">
        <v>17.734334</v>
      </c>
      <c r="D36" s="38">
        <v>3.778305</v>
      </c>
      <c r="F36" s="9"/>
      <c r="G36" s="9"/>
    </row>
    <row r="37" spans="1:16" ht="15.75" customHeight="1" x14ac:dyDescent="0.3">
      <c r="A37" s="12">
        <v>3.4</v>
      </c>
      <c r="B37" s="39">
        <v>19.867767000000001</v>
      </c>
      <c r="C37" s="39">
        <v>19.867767000000001</v>
      </c>
      <c r="D37" s="40">
        <v>4.2963329999999997</v>
      </c>
      <c r="F37" s="9"/>
      <c r="G37" s="9"/>
      <c r="H37" s="9"/>
      <c r="I37" s="21"/>
    </row>
    <row r="38" spans="1:16" ht="15.75" customHeight="1" x14ac:dyDescent="0.3">
      <c r="A38" s="11">
        <v>3.5</v>
      </c>
      <c r="B38" s="37">
        <v>22.234544</v>
      </c>
      <c r="C38" s="37">
        <v>22.234544</v>
      </c>
      <c r="D38" s="38">
        <v>4.8809079999999998</v>
      </c>
      <c r="F38" s="9"/>
      <c r="G38" s="9"/>
      <c r="J38" s="9"/>
    </row>
    <row r="39" spans="1:16" ht="15.75" customHeight="1" x14ac:dyDescent="0.3">
      <c r="A39" s="12">
        <v>3.6</v>
      </c>
      <c r="B39" s="39">
        <v>24.857997999999998</v>
      </c>
      <c r="C39" s="39">
        <v>24.857997999999998</v>
      </c>
      <c r="D39" s="40">
        <v>5.5402360000000002</v>
      </c>
      <c r="F39" s="9"/>
      <c r="G39" s="9"/>
      <c r="H39" s="46" t="s">
        <v>23</v>
      </c>
      <c r="I39" s="47"/>
      <c r="J39" s="9"/>
    </row>
    <row r="40" spans="1:16" x14ac:dyDescent="0.3">
      <c r="A40" s="11">
        <v>3.7</v>
      </c>
      <c r="B40" s="37">
        <v>27.763798000000001</v>
      </c>
      <c r="C40" s="37">
        <v>27.763798000000001</v>
      </c>
      <c r="D40" s="38">
        <v>6.283506</v>
      </c>
      <c r="F40" s="9"/>
      <c r="G40" s="9"/>
      <c r="H40" s="48" t="s">
        <v>21</v>
      </c>
      <c r="I40" s="47"/>
      <c r="J40" s="9"/>
      <c r="O40" s="2"/>
    </row>
    <row r="41" spans="1:16" x14ac:dyDescent="0.3">
      <c r="A41" s="12">
        <v>3.8</v>
      </c>
      <c r="B41" s="39">
        <v>30.980177999999999</v>
      </c>
      <c r="C41" s="39">
        <v>30.980177999999999</v>
      </c>
      <c r="D41" s="40">
        <v>7.1210069999999996</v>
      </c>
      <c r="F41" s="9"/>
      <c r="G41" s="9"/>
      <c r="H41" s="47"/>
      <c r="I41" s="47"/>
      <c r="J41" s="9"/>
      <c r="O41" s="2"/>
      <c r="P41" s="1"/>
    </row>
    <row r="42" spans="1:16" x14ac:dyDescent="0.3">
      <c r="A42" s="11">
        <v>3.9</v>
      </c>
      <c r="B42" s="37">
        <v>34.538195999999999</v>
      </c>
      <c r="C42" s="37">
        <v>34.538195999999999</v>
      </c>
      <c r="D42" s="38">
        <v>8.0642530000000008</v>
      </c>
      <c r="F42" s="9"/>
      <c r="G42" s="9"/>
      <c r="H42" s="47"/>
      <c r="I42" s="47"/>
      <c r="J42" s="9"/>
    </row>
    <row r="43" spans="1:16" ht="23.4" x14ac:dyDescent="0.3">
      <c r="A43" s="12">
        <v>4</v>
      </c>
      <c r="B43" s="39">
        <v>38.472014999999999</v>
      </c>
      <c r="C43" s="39">
        <v>38.472014999999999</v>
      </c>
      <c r="D43" s="40">
        <v>9.1261349999999997</v>
      </c>
      <c r="H43" s="46" t="s">
        <v>22</v>
      </c>
      <c r="I43" s="47"/>
      <c r="J43" s="9"/>
    </row>
    <row r="44" spans="1:16" x14ac:dyDescent="0.3">
      <c r="A44" s="11">
        <v>4.0999999999999996</v>
      </c>
      <c r="B44" s="37">
        <v>42.819217000000002</v>
      </c>
      <c r="C44" s="37">
        <v>42.819217000000002</v>
      </c>
      <c r="D44" s="38">
        <v>10.321071</v>
      </c>
      <c r="H44" s="48" t="s">
        <v>24</v>
      </c>
      <c r="I44" s="47"/>
    </row>
    <row r="45" spans="1:16" x14ac:dyDescent="0.3">
      <c r="A45" s="12">
        <v>4.2</v>
      </c>
      <c r="B45" s="39">
        <v>47.621138000000002</v>
      </c>
      <c r="C45" s="39">
        <v>47.621138000000002</v>
      </c>
      <c r="D45" s="40">
        <v>11.665193</v>
      </c>
      <c r="H45" s="47"/>
      <c r="I45" s="47"/>
    </row>
    <row r="46" spans="1:16" x14ac:dyDescent="0.3">
      <c r="A46" s="11">
        <v>4.3</v>
      </c>
      <c r="B46" s="37">
        <v>52.923251999999998</v>
      </c>
      <c r="C46" s="37">
        <v>52.923251999999998</v>
      </c>
      <c r="D46" s="38">
        <v>13.176541</v>
      </c>
      <c r="H46" s="47"/>
      <c r="I46" s="47"/>
    </row>
    <row r="47" spans="1:16" x14ac:dyDescent="0.3">
      <c r="A47" s="12">
        <v>4.4000000000000004</v>
      </c>
      <c r="B47" s="39">
        <v>58.775576999999998</v>
      </c>
      <c r="C47" s="39">
        <v>58.775576999999998</v>
      </c>
      <c r="D47" s="40">
        <v>14.875291000000001</v>
      </c>
    </row>
    <row r="48" spans="1:16" x14ac:dyDescent="0.3">
      <c r="A48" s="11">
        <v>4.5</v>
      </c>
      <c r="B48" s="37">
        <v>65.233135000000004</v>
      </c>
      <c r="C48" s="37">
        <v>65.233135000000004</v>
      </c>
      <c r="D48" s="38">
        <v>16.783995999999998</v>
      </c>
    </row>
    <row r="49" spans="1:14" x14ac:dyDescent="0.3">
      <c r="A49" s="12">
        <v>4.5999999999999996</v>
      </c>
      <c r="B49" s="39">
        <v>72.356448999999998</v>
      </c>
      <c r="C49" s="39">
        <v>72.356448999999998</v>
      </c>
      <c r="D49" s="40">
        <v>18.927866999999999</v>
      </c>
    </row>
    <row r="50" spans="1:14" x14ac:dyDescent="0.3">
      <c r="A50" s="11">
        <v>4.7</v>
      </c>
      <c r="B50" s="37">
        <v>80.212093999999993</v>
      </c>
      <c r="C50" s="37">
        <v>80.212093999999993</v>
      </c>
      <c r="D50" s="38">
        <v>21.335079</v>
      </c>
    </row>
    <row r="51" spans="1:14" x14ac:dyDescent="0.3">
      <c r="A51" s="12">
        <v>4.8</v>
      </c>
      <c r="B51" s="39">
        <v>88.873303000000007</v>
      </c>
      <c r="C51" s="39">
        <v>88.873303000000007</v>
      </c>
      <c r="D51" s="40">
        <v>24.037115</v>
      </c>
    </row>
    <row r="52" spans="1:14" x14ac:dyDescent="0.3">
      <c r="A52" s="11">
        <v>4.9000000000000004</v>
      </c>
      <c r="B52" s="37">
        <v>98.420632999999995</v>
      </c>
      <c r="C52" s="37">
        <v>98.420632999999995</v>
      </c>
      <c r="D52" s="38">
        <v>27.069146</v>
      </c>
    </row>
    <row r="53" spans="1:14" x14ac:dyDescent="0.3">
      <c r="A53" s="12">
        <v>5</v>
      </c>
      <c r="B53" s="39">
        <v>108.942697</v>
      </c>
      <c r="C53" s="39">
        <v>108.942697</v>
      </c>
      <c r="D53" s="40">
        <v>30.470462000000001</v>
      </c>
    </row>
    <row r="54" spans="1:14" x14ac:dyDescent="0.3">
      <c r="A54" s="11"/>
      <c r="B54" s="37"/>
      <c r="C54" s="37"/>
      <c r="D54" s="38"/>
    </row>
    <row r="55" spans="1:14" ht="15" thickBot="1" x14ac:dyDescent="0.35">
      <c r="A55" s="9"/>
      <c r="B55" s="9"/>
      <c r="C55" s="9"/>
      <c r="D55" s="9"/>
    </row>
    <row r="56" spans="1:14" x14ac:dyDescent="0.3">
      <c r="A56" s="9"/>
      <c r="B56" s="9"/>
      <c r="C56" s="63" t="s">
        <v>6</v>
      </c>
      <c r="D56" s="64"/>
      <c r="E56" s="64"/>
      <c r="F56" s="65" t="s">
        <v>7</v>
      </c>
      <c r="G56" s="65"/>
      <c r="H56" s="65"/>
      <c r="I56" s="64" t="s">
        <v>8</v>
      </c>
      <c r="J56" s="64"/>
      <c r="K56" s="66"/>
      <c r="L56" s="59" t="s">
        <v>20</v>
      </c>
      <c r="M56" s="59"/>
      <c r="N56" s="60"/>
    </row>
    <row r="57" spans="1:14" ht="15" thickBot="1" x14ac:dyDescent="0.35">
      <c r="A57" s="9"/>
      <c r="B57" s="9"/>
      <c r="C57" s="67">
        <f>MAX(D4:D53)</f>
        <v>30.470462000000001</v>
      </c>
      <c r="D57" s="68"/>
      <c r="E57" s="68"/>
      <c r="F57" s="69">
        <f>MAX(I4:I28)</f>
        <v>46.432169999999999</v>
      </c>
      <c r="G57" s="68"/>
      <c r="H57" s="68"/>
      <c r="I57" s="68">
        <f>F57/C57</f>
        <v>1.5238420080404425</v>
      </c>
      <c r="J57" s="68"/>
      <c r="K57" s="70"/>
      <c r="L57" s="61">
        <f>LOG(I57, 2)</f>
        <v>0.60771333194392729</v>
      </c>
      <c r="M57" s="61"/>
      <c r="N57" s="62"/>
    </row>
    <row r="58" spans="1:14" ht="15" thickBot="1" x14ac:dyDescent="0.35">
      <c r="A58" s="9"/>
      <c r="B58" s="9"/>
      <c r="G58"/>
      <c r="H58"/>
      <c r="I58"/>
    </row>
    <row r="59" spans="1:14" x14ac:dyDescent="0.3">
      <c r="A59" s="9"/>
      <c r="B59" s="9"/>
      <c r="C59" s="63" t="s">
        <v>9</v>
      </c>
      <c r="D59" s="64"/>
      <c r="E59" s="64"/>
      <c r="F59" s="65" t="s">
        <v>10</v>
      </c>
      <c r="G59" s="65"/>
      <c r="H59" s="65"/>
      <c r="I59" s="64" t="s">
        <v>8</v>
      </c>
      <c r="J59" s="64"/>
      <c r="K59" s="66"/>
      <c r="L59" s="59" t="s">
        <v>20</v>
      </c>
      <c r="M59" s="59"/>
      <c r="N59" s="60"/>
    </row>
    <row r="60" spans="1:14" ht="15" thickBot="1" x14ac:dyDescent="0.35">
      <c r="A60" s="9"/>
      <c r="B60" s="9"/>
      <c r="C60" s="67">
        <f>AVERAGE(D4:D53)</f>
        <v>5.254969120000001</v>
      </c>
      <c r="D60" s="68"/>
      <c r="E60" s="68"/>
      <c r="F60" s="69">
        <f>AVERAGE(I4:I28)</f>
        <v>8.5687591199999993</v>
      </c>
      <c r="G60" s="68"/>
      <c r="H60" s="68"/>
      <c r="I60" s="68">
        <f>F60/C60</f>
        <v>1.6306012317727945</v>
      </c>
      <c r="J60" s="68"/>
      <c r="K60" s="70"/>
      <c r="L60" s="61">
        <f>LOG(I60, 2)</f>
        <v>0.70540400995668195</v>
      </c>
      <c r="M60" s="61"/>
      <c r="N60" s="62"/>
    </row>
    <row r="61" spans="1:14" x14ac:dyDescent="0.3">
      <c r="A61" s="9"/>
      <c r="B61" s="9"/>
      <c r="C61" s="9"/>
      <c r="D61" s="9"/>
    </row>
    <row r="62" spans="1:14" x14ac:dyDescent="0.3">
      <c r="A62" s="9"/>
      <c r="B62" s="9"/>
      <c r="C62" s="9"/>
      <c r="D62" s="9"/>
    </row>
    <row r="63" spans="1:14" x14ac:dyDescent="0.3">
      <c r="A63" s="9"/>
      <c r="B63" s="9"/>
      <c r="C63" s="9"/>
      <c r="D63" s="9"/>
    </row>
    <row r="66" spans="3:9" x14ac:dyDescent="0.3">
      <c r="C66"/>
      <c r="D66"/>
      <c r="E66"/>
      <c r="F66"/>
      <c r="G66"/>
      <c r="H66"/>
      <c r="I66"/>
    </row>
    <row r="72" spans="3:9" x14ac:dyDescent="0.3">
      <c r="C72"/>
      <c r="D72"/>
      <c r="E72"/>
      <c r="F72"/>
      <c r="G72"/>
      <c r="H72"/>
      <c r="I72"/>
    </row>
    <row r="73" spans="3:9" x14ac:dyDescent="0.3">
      <c r="C73"/>
      <c r="D73"/>
      <c r="E73"/>
      <c r="F73"/>
      <c r="G73"/>
      <c r="H73"/>
      <c r="I73"/>
    </row>
  </sheetData>
  <mergeCells count="24">
    <mergeCell ref="L56:N56"/>
    <mergeCell ref="L57:N57"/>
    <mergeCell ref="L59:N59"/>
    <mergeCell ref="L60:N60"/>
    <mergeCell ref="C59:E59"/>
    <mergeCell ref="F59:H59"/>
    <mergeCell ref="I59:K59"/>
    <mergeCell ref="C60:E60"/>
    <mergeCell ref="F60:H60"/>
    <mergeCell ref="I60:K60"/>
    <mergeCell ref="I56:K56"/>
    <mergeCell ref="I57:K57"/>
    <mergeCell ref="C56:E56"/>
    <mergeCell ref="C57:E57"/>
    <mergeCell ref="F56:H56"/>
    <mergeCell ref="F57:H57"/>
    <mergeCell ref="H43:I43"/>
    <mergeCell ref="H44:I46"/>
    <mergeCell ref="A1:B2"/>
    <mergeCell ref="C1:D2"/>
    <mergeCell ref="F1:G2"/>
    <mergeCell ref="H1:I2"/>
    <mergeCell ref="H40:I42"/>
    <mergeCell ref="H39:I3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3"/>
  <sheetViews>
    <sheetView zoomScale="25" zoomScaleNormal="25" workbookViewId="0">
      <selection activeCell="H98" sqref="H98"/>
    </sheetView>
  </sheetViews>
  <sheetFormatPr defaultRowHeight="14.4" x14ac:dyDescent="0.3"/>
  <cols>
    <col min="1" max="3" width="14.44140625" bestFit="1" customWidth="1"/>
    <col min="4" max="4" width="9.109375" bestFit="1" customWidth="1"/>
    <col min="6" max="8" width="14.44140625" bestFit="1" customWidth="1"/>
    <col min="9" max="9" width="9" bestFit="1" customWidth="1"/>
  </cols>
  <sheetData>
    <row r="1" spans="1:9" ht="15" thickBot="1" x14ac:dyDescent="0.35">
      <c r="A1" s="2"/>
      <c r="B1" s="2"/>
      <c r="C1" s="2"/>
      <c r="D1" s="2"/>
      <c r="F1" s="2"/>
      <c r="G1" s="2"/>
      <c r="H1" s="2"/>
      <c r="I1" s="2"/>
    </row>
    <row r="2" spans="1:9" ht="15" customHeight="1" x14ac:dyDescent="0.3">
      <c r="A2" s="94" t="s">
        <v>15</v>
      </c>
      <c r="B2" s="95"/>
      <c r="C2" s="98" t="s">
        <v>16</v>
      </c>
      <c r="D2" s="99"/>
      <c r="E2" s="3"/>
      <c r="F2" s="94" t="s">
        <v>17</v>
      </c>
      <c r="G2" s="95"/>
      <c r="H2" s="98" t="s">
        <v>18</v>
      </c>
      <c r="I2" s="99"/>
    </row>
    <row r="3" spans="1:9" ht="15" thickBot="1" x14ac:dyDescent="0.35">
      <c r="A3" s="96"/>
      <c r="B3" s="97"/>
      <c r="C3" s="100"/>
      <c r="D3" s="101"/>
      <c r="E3" s="3"/>
      <c r="F3" s="96"/>
      <c r="G3" s="97"/>
      <c r="H3" s="100"/>
      <c r="I3" s="101"/>
    </row>
    <row r="4" spans="1:9" ht="16.2" thickBot="1" x14ac:dyDescent="0.35">
      <c r="A4" s="4" t="s">
        <v>0</v>
      </c>
      <c r="B4" s="5" t="s">
        <v>1</v>
      </c>
      <c r="C4" s="6" t="s">
        <v>1</v>
      </c>
      <c r="D4" s="7" t="s">
        <v>2</v>
      </c>
      <c r="F4" s="4" t="s">
        <v>0</v>
      </c>
      <c r="G4" s="5" t="s">
        <v>1</v>
      </c>
      <c r="H4" s="6" t="s">
        <v>1</v>
      </c>
      <c r="I4" s="7" t="s">
        <v>3</v>
      </c>
    </row>
    <row r="5" spans="1:9" x14ac:dyDescent="0.3">
      <c r="A5" s="43">
        <v>0.1</v>
      </c>
      <c r="B5" s="113">
        <v>0.01</v>
      </c>
      <c r="C5" s="113">
        <v>0.01</v>
      </c>
      <c r="D5" s="26">
        <v>0</v>
      </c>
      <c r="F5" s="28">
        <v>0.1</v>
      </c>
      <c r="G5" s="114">
        <v>0.01</v>
      </c>
      <c r="H5" s="114">
        <v>0.01</v>
      </c>
      <c r="I5" s="117">
        <v>0</v>
      </c>
    </row>
    <row r="6" spans="1:9" x14ac:dyDescent="0.3">
      <c r="A6" s="44">
        <v>0.2</v>
      </c>
      <c r="B6" s="114">
        <v>0.03</v>
      </c>
      <c r="C6" s="114">
        <v>3.9800000000000002E-2</v>
      </c>
      <c r="D6" s="27">
        <v>9.7999999999999997E-3</v>
      </c>
      <c r="F6" s="30">
        <v>0.3</v>
      </c>
      <c r="G6" s="113">
        <v>4.99E-2</v>
      </c>
      <c r="H6" s="113">
        <v>8.8700000000000001E-2</v>
      </c>
      <c r="I6" s="118">
        <v>3.8800000000000001E-2</v>
      </c>
    </row>
    <row r="7" spans="1:9" x14ac:dyDescent="0.3">
      <c r="A7" s="43">
        <v>0.3</v>
      </c>
      <c r="B7" s="113">
        <v>6.4500000000000002E-2</v>
      </c>
      <c r="C7" s="113">
        <v>8.8700000000000001E-2</v>
      </c>
      <c r="D7" s="26">
        <v>2.4199999999999999E-2</v>
      </c>
      <c r="F7" s="28">
        <v>0.5</v>
      </c>
      <c r="G7" s="114">
        <v>0.14050000000000001</v>
      </c>
      <c r="H7" s="114">
        <v>0.23980000000000001</v>
      </c>
      <c r="I7" s="117">
        <v>9.9299999999999999E-2</v>
      </c>
    </row>
    <row r="8" spans="1:9" x14ac:dyDescent="0.3">
      <c r="A8" s="44">
        <v>0.4</v>
      </c>
      <c r="B8" s="114">
        <v>0.1147</v>
      </c>
      <c r="C8" s="114">
        <v>0.15579999999999999</v>
      </c>
      <c r="D8" s="27">
        <v>4.1099999999999998E-2</v>
      </c>
      <c r="F8" s="30">
        <v>0.7</v>
      </c>
      <c r="G8" s="113">
        <v>0.28439999999999999</v>
      </c>
      <c r="H8" s="113">
        <v>0.4511</v>
      </c>
      <c r="I8" s="118">
        <v>0.1666</v>
      </c>
    </row>
    <row r="9" spans="1:9" x14ac:dyDescent="0.3">
      <c r="A9" s="43">
        <v>0.5</v>
      </c>
      <c r="B9" s="113">
        <v>0.1802</v>
      </c>
      <c r="C9" s="113">
        <v>0.23980000000000001</v>
      </c>
      <c r="D9" s="26">
        <v>5.96E-2</v>
      </c>
      <c r="F9" s="28">
        <v>0.9</v>
      </c>
      <c r="G9" s="114">
        <v>0.4728</v>
      </c>
      <c r="H9" s="114">
        <v>0.70509999999999995</v>
      </c>
      <c r="I9" s="117">
        <v>0.2324</v>
      </c>
    </row>
    <row r="10" spans="1:9" x14ac:dyDescent="0.3">
      <c r="A10" s="44">
        <v>0.6</v>
      </c>
      <c r="B10" s="114">
        <v>0.2601</v>
      </c>
      <c r="C10" s="114">
        <v>0.33889999999999998</v>
      </c>
      <c r="D10" s="27">
        <v>7.8799999999999995E-2</v>
      </c>
      <c r="F10" s="30">
        <v>1.1000000000000001</v>
      </c>
      <c r="G10" s="113">
        <v>0.68969999999999998</v>
      </c>
      <c r="H10" s="113">
        <v>0.98050000000000004</v>
      </c>
      <c r="I10" s="118">
        <v>0.2908</v>
      </c>
    </row>
    <row r="11" spans="1:9" x14ac:dyDescent="0.3">
      <c r="A11" s="43">
        <v>0.7</v>
      </c>
      <c r="B11" s="113">
        <v>0.35299999999999998</v>
      </c>
      <c r="C11" s="113">
        <v>0.4511</v>
      </c>
      <c r="D11" s="26">
        <v>9.8100000000000007E-2</v>
      </c>
      <c r="F11" s="28">
        <v>1.3</v>
      </c>
      <c r="G11" s="114">
        <v>0.91490000000000005</v>
      </c>
      <c r="H11" s="114">
        <v>1.2527999999999999</v>
      </c>
      <c r="I11" s="117">
        <v>0.33789999999999998</v>
      </c>
    </row>
    <row r="12" spans="1:9" x14ac:dyDescent="0.3">
      <c r="A12" s="44">
        <v>0.8</v>
      </c>
      <c r="B12" s="114">
        <v>0.45700000000000002</v>
      </c>
      <c r="C12" s="114">
        <v>0.57399999999999995</v>
      </c>
      <c r="D12" s="27">
        <v>0.11700000000000001</v>
      </c>
      <c r="F12" s="30">
        <v>1.5</v>
      </c>
      <c r="G12" s="113">
        <v>1.1252</v>
      </c>
      <c r="H12" s="113">
        <v>1.4964999999999999</v>
      </c>
      <c r="I12" s="118">
        <v>0.37119999999999997</v>
      </c>
    </row>
    <row r="13" spans="1:9" x14ac:dyDescent="0.3">
      <c r="A13" s="43">
        <v>0.9</v>
      </c>
      <c r="B13" s="113">
        <v>0.56979999999999997</v>
      </c>
      <c r="C13" s="113">
        <v>0.70509999999999995</v>
      </c>
      <c r="D13" s="26">
        <v>0.1353</v>
      </c>
      <c r="F13" s="28">
        <v>1.7</v>
      </c>
      <c r="G13" s="114">
        <v>1.2965</v>
      </c>
      <c r="H13" s="114">
        <v>1.6860999999999999</v>
      </c>
      <c r="I13" s="117">
        <v>0.3896</v>
      </c>
    </row>
    <row r="14" spans="1:9" x14ac:dyDescent="0.3">
      <c r="A14" s="44">
        <v>1</v>
      </c>
      <c r="B14" s="114">
        <v>0.68910000000000005</v>
      </c>
      <c r="C14" s="114">
        <v>0.84160000000000001</v>
      </c>
      <c r="D14" s="27">
        <v>0.1525</v>
      </c>
      <c r="F14" s="30">
        <v>1.9</v>
      </c>
      <c r="G14" s="113">
        <v>1.4052</v>
      </c>
      <c r="H14" s="113">
        <v>1.7983</v>
      </c>
      <c r="I14" s="118">
        <v>0.3931</v>
      </c>
    </row>
    <row r="15" spans="1:9" x14ac:dyDescent="0.3">
      <c r="A15" s="43">
        <v>1.1000000000000001</v>
      </c>
      <c r="B15" s="113">
        <v>0.81200000000000006</v>
      </c>
      <c r="C15" s="113">
        <v>0.98050000000000004</v>
      </c>
      <c r="D15" s="26">
        <v>0.16850000000000001</v>
      </c>
      <c r="F15" s="28">
        <v>2.1</v>
      </c>
      <c r="G15" s="114">
        <v>1.4302999999999999</v>
      </c>
      <c r="H15" s="114">
        <v>1.8130999999999999</v>
      </c>
      <c r="I15" s="117">
        <v>0.38279999999999997</v>
      </c>
    </row>
    <row r="16" spans="1:9" x14ac:dyDescent="0.3">
      <c r="A16" s="44">
        <v>1.2</v>
      </c>
      <c r="B16" s="114">
        <v>0.93579999999999997</v>
      </c>
      <c r="C16" s="114">
        <v>1.1186</v>
      </c>
      <c r="D16" s="27">
        <v>0.18290000000000001</v>
      </c>
      <c r="F16" s="30">
        <v>2.2999999999999998</v>
      </c>
      <c r="G16" s="113">
        <v>1.3545</v>
      </c>
      <c r="H16" s="113">
        <v>1.7155</v>
      </c>
      <c r="I16" s="118">
        <v>0.36099999999999999</v>
      </c>
    </row>
    <row r="17" spans="1:34" x14ac:dyDescent="0.3">
      <c r="A17" s="43">
        <v>1.3</v>
      </c>
      <c r="B17" s="113">
        <v>1.0571999999999999</v>
      </c>
      <c r="C17" s="113">
        <v>1.2527999999999999</v>
      </c>
      <c r="D17" s="31">
        <v>0.1956</v>
      </c>
      <c r="F17" s="28">
        <v>2.5</v>
      </c>
      <c r="G17" s="114">
        <v>1.1657999999999999</v>
      </c>
      <c r="H17" s="114">
        <v>1.4965999999999999</v>
      </c>
      <c r="I17" s="117">
        <v>0.33079999999999998</v>
      </c>
    </row>
    <row r="18" spans="1:34" x14ac:dyDescent="0.3">
      <c r="A18" s="44">
        <v>1.4</v>
      </c>
      <c r="B18" s="114">
        <v>1.1733</v>
      </c>
      <c r="C18" s="114">
        <v>1.3798999999999999</v>
      </c>
      <c r="D18" s="29">
        <v>0.20649999999999999</v>
      </c>
      <c r="F18" s="30">
        <v>2.7</v>
      </c>
      <c r="G18" s="113">
        <v>0.85850000000000004</v>
      </c>
      <c r="H18" s="113">
        <v>1.1544000000000001</v>
      </c>
      <c r="I18" s="118">
        <v>0.2959</v>
      </c>
    </row>
    <row r="19" spans="1:34" x14ac:dyDescent="0.3">
      <c r="A19" s="43">
        <v>1.5</v>
      </c>
      <c r="B19" s="113">
        <v>1.2808999999999999</v>
      </c>
      <c r="C19" s="113">
        <v>1.4964999999999999</v>
      </c>
      <c r="D19" s="31">
        <v>0.21560000000000001</v>
      </c>
      <c r="F19" s="28">
        <v>2.9</v>
      </c>
      <c r="G19" s="114">
        <v>0.43380000000000002</v>
      </c>
      <c r="H19" s="114">
        <v>0.69430000000000003</v>
      </c>
      <c r="I19" s="117">
        <v>0.26050000000000001</v>
      </c>
    </row>
    <row r="20" spans="1:34" x14ac:dyDescent="0.3">
      <c r="A20" s="44">
        <v>1.6</v>
      </c>
      <c r="B20" s="114">
        <v>1.3769</v>
      </c>
      <c r="C20" s="114">
        <v>1.5995999999999999</v>
      </c>
      <c r="D20" s="29">
        <v>0.22270000000000001</v>
      </c>
      <c r="F20" s="30">
        <v>3.1</v>
      </c>
      <c r="G20" s="113">
        <v>-9.9400000000000002E-2</v>
      </c>
      <c r="H20" s="113">
        <v>0.12939999999999999</v>
      </c>
      <c r="I20" s="118">
        <v>0.2288</v>
      </c>
    </row>
    <row r="21" spans="1:34" x14ac:dyDescent="0.3">
      <c r="A21" s="43">
        <v>1.7</v>
      </c>
      <c r="B21" s="113">
        <v>1.4582999999999999</v>
      </c>
      <c r="C21" s="113">
        <v>1.6860999999999999</v>
      </c>
      <c r="D21" s="31">
        <v>0.2278</v>
      </c>
      <c r="F21" s="28">
        <v>3.3</v>
      </c>
      <c r="G21" s="114">
        <v>-0.72529999999999994</v>
      </c>
      <c r="H21" s="114">
        <v>-0.52</v>
      </c>
      <c r="I21" s="117">
        <v>0.20519999999999999</v>
      </c>
    </row>
    <row r="22" spans="1:34" x14ac:dyDescent="0.3">
      <c r="A22" s="44">
        <v>1.8</v>
      </c>
      <c r="B22" s="114">
        <v>1.5222</v>
      </c>
      <c r="C22" s="114">
        <v>1.7532000000000001</v>
      </c>
      <c r="D22" s="29">
        <v>0.23100000000000001</v>
      </c>
      <c r="F22" s="30">
        <v>3.5</v>
      </c>
      <c r="G22" s="113">
        <v>-1.421</v>
      </c>
      <c r="H22" s="113">
        <v>-1.2272000000000001</v>
      </c>
      <c r="I22" s="118">
        <v>0.1938</v>
      </c>
    </row>
    <row r="23" spans="1:34" x14ac:dyDescent="0.3">
      <c r="A23" s="43">
        <v>1.9</v>
      </c>
      <c r="B23" s="113">
        <v>1.5659000000000001</v>
      </c>
      <c r="C23" s="113">
        <v>1.7983</v>
      </c>
      <c r="D23" s="31">
        <v>0.2324</v>
      </c>
      <c r="F23" s="28">
        <v>3.7</v>
      </c>
      <c r="G23" s="114">
        <v>-2.1577000000000002</v>
      </c>
      <c r="H23" s="114">
        <v>-1.9598</v>
      </c>
      <c r="I23" s="117">
        <v>0.19789999999999999</v>
      </c>
    </row>
    <row r="24" spans="1:34" ht="14.4" customHeight="1" x14ac:dyDescent="0.3">
      <c r="A24" s="44">
        <v>2</v>
      </c>
      <c r="B24" s="114">
        <v>1.5868</v>
      </c>
      <c r="C24" s="114">
        <v>1.8189</v>
      </c>
      <c r="D24" s="29">
        <v>0.2321</v>
      </c>
      <c r="F24" s="30">
        <v>3.9</v>
      </c>
      <c r="G24" s="113">
        <v>-2.9018999999999999</v>
      </c>
      <c r="H24" s="113">
        <v>-2.6816</v>
      </c>
      <c r="I24" s="118">
        <v>0.2203</v>
      </c>
    </row>
    <row r="25" spans="1:34" ht="15" customHeight="1" x14ac:dyDescent="0.3">
      <c r="A25" s="43">
        <v>2.1</v>
      </c>
      <c r="B25" s="113">
        <v>1.583</v>
      </c>
      <c r="C25" s="113">
        <v>1.8130999999999999</v>
      </c>
      <c r="D25" s="31">
        <v>0.2301</v>
      </c>
      <c r="F25" s="28">
        <v>4.0999999999999996</v>
      </c>
      <c r="G25" s="114">
        <v>-3.6168999999999998</v>
      </c>
      <c r="H25" s="114">
        <v>-3.3542999999999998</v>
      </c>
      <c r="I25" s="117">
        <v>0.26269999999999999</v>
      </c>
    </row>
    <row r="26" spans="1:34" ht="14.4" customHeight="1" x14ac:dyDescent="0.3">
      <c r="A26" s="44">
        <v>2.2000000000000002</v>
      </c>
      <c r="B26" s="114">
        <v>1.5523</v>
      </c>
      <c r="C26" s="114">
        <v>1.7790999999999999</v>
      </c>
      <c r="D26" s="29">
        <v>0.22670000000000001</v>
      </c>
      <c r="F26" s="30">
        <v>4.3</v>
      </c>
      <c r="G26" s="113">
        <v>-4.2647000000000004</v>
      </c>
      <c r="H26" s="113">
        <v>-3.9388000000000001</v>
      </c>
      <c r="I26" s="118">
        <v>0.32590000000000002</v>
      </c>
      <c r="AF26" s="45"/>
    </row>
    <row r="27" spans="1:34" x14ac:dyDescent="0.3">
      <c r="A27" s="43">
        <v>2.2999999999999998</v>
      </c>
      <c r="B27" s="113">
        <v>1.4934000000000001</v>
      </c>
      <c r="C27" s="113">
        <v>1.7155</v>
      </c>
      <c r="D27" s="31">
        <v>0.22209999999999999</v>
      </c>
      <c r="F27" s="28">
        <v>4.5</v>
      </c>
      <c r="G27" s="114">
        <v>-4.8078000000000003</v>
      </c>
      <c r="H27" s="114">
        <v>-4.3981000000000003</v>
      </c>
      <c r="I27" s="117">
        <v>0.40960000000000002</v>
      </c>
      <c r="AF27" s="45"/>
      <c r="AH27" s="45"/>
    </row>
    <row r="28" spans="1:34" x14ac:dyDescent="0.3">
      <c r="A28" s="44">
        <v>2.4</v>
      </c>
      <c r="B28" s="115">
        <v>1.4051</v>
      </c>
      <c r="C28" s="114">
        <v>1.6214999999999999</v>
      </c>
      <c r="D28" s="29">
        <v>0.21640000000000001</v>
      </c>
      <c r="F28" s="30">
        <v>4.7</v>
      </c>
      <c r="G28" s="113">
        <v>-5.2111999999999998</v>
      </c>
      <c r="H28" s="113">
        <v>-4.6989000000000001</v>
      </c>
      <c r="I28" s="118">
        <v>0.51229999999999998</v>
      </c>
      <c r="AF28" s="45"/>
      <c r="AH28" s="45"/>
    </row>
    <row r="29" spans="1:34" ht="14.4" customHeight="1" x14ac:dyDescent="0.3">
      <c r="A29" s="43">
        <v>2.5</v>
      </c>
      <c r="B29" s="115">
        <v>1.2867</v>
      </c>
      <c r="C29" s="113">
        <v>1.4965999999999999</v>
      </c>
      <c r="D29" s="31">
        <v>0.2099</v>
      </c>
      <c r="F29" s="28">
        <v>4.9000000000000004</v>
      </c>
      <c r="G29" s="114">
        <v>-5.4446000000000003</v>
      </c>
      <c r="H29" s="114">
        <v>-4.8132000000000001</v>
      </c>
      <c r="I29" s="117">
        <v>0.63139999999999996</v>
      </c>
      <c r="AF29" s="45"/>
      <c r="AG29" s="45"/>
      <c r="AH29" s="45"/>
    </row>
    <row r="30" spans="1:34" ht="15" customHeight="1" x14ac:dyDescent="0.3">
      <c r="A30" s="44">
        <v>2.6</v>
      </c>
      <c r="B30" s="114">
        <v>1.1377999999999999</v>
      </c>
      <c r="C30" s="114">
        <v>1.3407</v>
      </c>
      <c r="D30" s="29">
        <v>0.2029</v>
      </c>
      <c r="F30" s="30">
        <v>5.0999999999999996</v>
      </c>
      <c r="G30" s="113">
        <v>-5.484</v>
      </c>
      <c r="H30" s="113">
        <v>-4.7207999999999997</v>
      </c>
      <c r="I30" s="118">
        <v>0.76319999999999999</v>
      </c>
      <c r="AF30" s="45"/>
      <c r="AG30" s="45"/>
      <c r="AH30" s="45"/>
    </row>
    <row r="31" spans="1:34" ht="15.75" customHeight="1" x14ac:dyDescent="0.3">
      <c r="A31" s="43">
        <v>2.7</v>
      </c>
      <c r="B31" s="113">
        <v>0.95879999999999999</v>
      </c>
      <c r="C31" s="113">
        <v>1.1544000000000001</v>
      </c>
      <c r="D31" s="31">
        <v>0.1956</v>
      </c>
      <c r="F31" s="28">
        <v>5.3</v>
      </c>
      <c r="G31" s="140">
        <v>-5.3135000000000003</v>
      </c>
      <c r="H31" s="141">
        <v>-4.4100999999999999</v>
      </c>
      <c r="I31" s="142">
        <v>0.90339999999999998</v>
      </c>
      <c r="AF31" s="45"/>
      <c r="AG31" s="45"/>
      <c r="AH31" s="45"/>
    </row>
    <row r="32" spans="1:34" ht="15.75" customHeight="1" x14ac:dyDescent="0.3">
      <c r="A32" s="44">
        <v>2.8</v>
      </c>
      <c r="B32" s="114">
        <v>0.75019999999999998</v>
      </c>
      <c r="C32" s="114">
        <v>0.93840000000000001</v>
      </c>
      <c r="D32" s="29">
        <v>0.18820000000000001</v>
      </c>
      <c r="F32" s="30">
        <v>5.5</v>
      </c>
      <c r="G32" s="146">
        <v>-4.9264000000000001</v>
      </c>
      <c r="H32" s="138">
        <v>-3.8795999999999999</v>
      </c>
      <c r="I32" s="147">
        <v>1.0468999999999999</v>
      </c>
      <c r="AF32" s="45"/>
      <c r="AG32" s="45"/>
      <c r="AH32" s="45"/>
    </row>
    <row r="33" spans="1:34" x14ac:dyDescent="0.3">
      <c r="A33" s="43">
        <v>2.9</v>
      </c>
      <c r="B33" s="113">
        <v>0.51319999999999999</v>
      </c>
      <c r="C33" s="113">
        <v>0.69430000000000003</v>
      </c>
      <c r="D33" s="31">
        <v>0.18110000000000001</v>
      </c>
      <c r="F33" s="28">
        <v>5.7</v>
      </c>
      <c r="G33" s="143">
        <v>-4.3259999999999996</v>
      </c>
      <c r="H33" s="128">
        <v>-3.1379999999999999</v>
      </c>
      <c r="I33" s="144">
        <v>1.1880999999999999</v>
      </c>
      <c r="AF33" s="45"/>
      <c r="AG33" s="45"/>
      <c r="AH33" s="45"/>
    </row>
    <row r="34" spans="1:34" x14ac:dyDescent="0.3">
      <c r="A34" s="44">
        <v>3</v>
      </c>
      <c r="B34" s="114">
        <v>0.24929999999999999</v>
      </c>
      <c r="C34" s="114">
        <v>0.4239</v>
      </c>
      <c r="D34" s="29">
        <v>0.17449999999999999</v>
      </c>
      <c r="F34" s="30">
        <v>5.9</v>
      </c>
      <c r="G34" s="146">
        <v>-3.5261999999999998</v>
      </c>
      <c r="H34" s="138">
        <v>-2.2048999999999999</v>
      </c>
      <c r="I34" s="147">
        <v>1.3212999999999999</v>
      </c>
      <c r="AG34" s="45"/>
      <c r="AH34" s="45"/>
    </row>
    <row r="35" spans="1:34" x14ac:dyDescent="0.3">
      <c r="A35" s="43">
        <v>3.1</v>
      </c>
      <c r="B35" s="113">
        <v>-3.9399999999999998E-2</v>
      </c>
      <c r="C35" s="113">
        <v>0.12939999999999999</v>
      </c>
      <c r="D35" s="31">
        <v>0.16880000000000001</v>
      </c>
      <c r="AG35" s="45"/>
      <c r="AH35" s="45"/>
    </row>
    <row r="36" spans="1:34" ht="15.75" customHeight="1" x14ac:dyDescent="0.3">
      <c r="A36" s="44">
        <v>3.2</v>
      </c>
      <c r="B36" s="114">
        <v>-0.35039999999999999</v>
      </c>
      <c r="C36" s="114">
        <v>-0.18629999999999999</v>
      </c>
      <c r="D36" s="29">
        <v>0.1641</v>
      </c>
      <c r="H36" s="121"/>
      <c r="AF36" s="45"/>
      <c r="AG36" s="45"/>
      <c r="AH36" s="45"/>
    </row>
    <row r="37" spans="1:34" ht="15.75" customHeight="1" x14ac:dyDescent="0.3">
      <c r="A37" s="43">
        <v>3.3</v>
      </c>
      <c r="B37" s="113">
        <v>-0.68079999999999996</v>
      </c>
      <c r="C37" s="113">
        <v>-0.52</v>
      </c>
      <c r="D37" s="31">
        <v>0.1608</v>
      </c>
      <c r="AF37" s="45"/>
      <c r="AG37" s="45"/>
      <c r="AH37" s="45"/>
    </row>
    <row r="38" spans="1:34" x14ac:dyDescent="0.3">
      <c r="A38" s="44">
        <v>3.4</v>
      </c>
      <c r="B38" s="114">
        <v>-1.0273000000000001</v>
      </c>
      <c r="C38" s="114">
        <v>-0.86829999999999996</v>
      </c>
      <c r="D38" s="29">
        <v>0.159</v>
      </c>
      <c r="AF38" s="45"/>
      <c r="AG38" s="45"/>
      <c r="AH38" s="45"/>
    </row>
    <row r="39" spans="1:34" ht="15" thickBot="1" x14ac:dyDescent="0.35">
      <c r="A39" s="43">
        <v>3.5</v>
      </c>
      <c r="B39" s="113">
        <v>-1.3862000000000001</v>
      </c>
      <c r="C39" s="113">
        <v>-1.2272000000000001</v>
      </c>
      <c r="D39" s="31">
        <v>0.159</v>
      </c>
      <c r="AF39" s="45"/>
      <c r="AG39" s="45"/>
      <c r="AH39" s="45"/>
    </row>
    <row r="40" spans="1:34" x14ac:dyDescent="0.3">
      <c r="A40" s="44">
        <v>3.6</v>
      </c>
      <c r="B40" s="114">
        <v>-1.7536</v>
      </c>
      <c r="C40" s="114">
        <v>-1.5925</v>
      </c>
      <c r="D40" s="29">
        <v>0.16109999999999999</v>
      </c>
      <c r="O40" s="102" t="s">
        <v>11</v>
      </c>
      <c r="P40" s="75"/>
      <c r="Q40" s="103"/>
      <c r="R40" s="71" t="s">
        <v>12</v>
      </c>
      <c r="S40" s="72"/>
      <c r="T40" s="73"/>
      <c r="U40" s="74" t="s">
        <v>8</v>
      </c>
      <c r="V40" s="75"/>
      <c r="W40" s="76"/>
      <c r="X40" s="59" t="s">
        <v>20</v>
      </c>
      <c r="Y40" s="59"/>
      <c r="Z40" s="60"/>
      <c r="AF40" s="45"/>
      <c r="AH40" s="45"/>
    </row>
    <row r="41" spans="1:34" ht="15" thickBot="1" x14ac:dyDescent="0.35">
      <c r="A41" s="43">
        <v>3.7</v>
      </c>
      <c r="B41" s="113">
        <v>-2.1251000000000002</v>
      </c>
      <c r="C41" s="113">
        <v>-1.9598</v>
      </c>
      <c r="D41" s="31">
        <v>0.1653</v>
      </c>
      <c r="O41" s="104">
        <f>MAX(D5:D64)</f>
        <v>0.80889999999999995</v>
      </c>
      <c r="P41" s="105"/>
      <c r="Q41" s="106"/>
      <c r="R41" s="107">
        <f>MAX(I5:I34)</f>
        <v>1.3212999999999999</v>
      </c>
      <c r="S41" s="105"/>
      <c r="T41" s="106"/>
      <c r="U41" s="108">
        <f>R41/O41</f>
        <v>1.6334528371863024</v>
      </c>
      <c r="V41" s="109"/>
      <c r="W41" s="110"/>
      <c r="X41" s="61">
        <f>LOG(U41, 2)</f>
        <v>0.70792480032864746</v>
      </c>
      <c r="Y41" s="61"/>
      <c r="Z41" s="62"/>
      <c r="AF41" s="45"/>
    </row>
    <row r="42" spans="1:34" ht="15" thickBot="1" x14ac:dyDescent="0.35">
      <c r="A42" s="44">
        <v>3.8</v>
      </c>
      <c r="B42" s="114">
        <v>-2.4963000000000002</v>
      </c>
      <c r="C42" s="114">
        <v>-2.3243999999999998</v>
      </c>
      <c r="D42" s="29">
        <v>0.1719</v>
      </c>
      <c r="O42" s="2"/>
      <c r="P42" s="2"/>
      <c r="Q42" s="2"/>
      <c r="R42" s="2"/>
      <c r="AF42" s="45"/>
    </row>
    <row r="43" spans="1:34" ht="23.4" x14ac:dyDescent="0.3">
      <c r="A43" s="43">
        <v>3.9</v>
      </c>
      <c r="B43" s="113">
        <v>-2.8626</v>
      </c>
      <c r="C43" s="113">
        <v>-2.6816</v>
      </c>
      <c r="D43" s="31">
        <v>0.18099999999999999</v>
      </c>
      <c r="F43" s="22" t="s">
        <v>4</v>
      </c>
      <c r="G43" s="23"/>
      <c r="H43" s="22"/>
      <c r="I43" s="23"/>
      <c r="O43" s="102" t="s">
        <v>13</v>
      </c>
      <c r="P43" s="75"/>
      <c r="Q43" s="103"/>
      <c r="R43" s="71" t="s">
        <v>14</v>
      </c>
      <c r="S43" s="72"/>
      <c r="T43" s="73"/>
      <c r="U43" s="74" t="s">
        <v>8</v>
      </c>
      <c r="V43" s="75"/>
      <c r="W43" s="76"/>
      <c r="X43" s="59" t="s">
        <v>20</v>
      </c>
      <c r="Y43" s="59"/>
      <c r="Z43" s="60"/>
      <c r="AF43" s="45"/>
    </row>
    <row r="44" spans="1:34" ht="24" thickBot="1" x14ac:dyDescent="0.35">
      <c r="A44" s="44">
        <v>4</v>
      </c>
      <c r="B44" s="114">
        <v>-3.2191000000000001</v>
      </c>
      <c r="C44" s="114">
        <v>-3.0265</v>
      </c>
      <c r="D44" s="29">
        <v>0.19259999999999999</v>
      </c>
      <c r="F44" s="24"/>
      <c r="G44" s="25"/>
      <c r="H44" s="24"/>
      <c r="I44" s="25"/>
      <c r="O44" s="111">
        <f>AVERAGE(D5:D64)</f>
        <v>0.26943499999999998</v>
      </c>
      <c r="P44" s="68"/>
      <c r="Q44" s="68"/>
      <c r="R44" s="119">
        <f>AVERAGE(I5:I34)</f>
        <v>0.41204999999999997</v>
      </c>
      <c r="S44" s="109"/>
      <c r="T44" s="112"/>
      <c r="U44" s="68">
        <f>R44/O44</f>
        <v>1.5293113366860283</v>
      </c>
      <c r="V44" s="68"/>
      <c r="W44" s="70"/>
      <c r="X44" s="61">
        <f>LOG(U44, 2)</f>
        <v>0.61288213996854102</v>
      </c>
      <c r="Y44" s="61"/>
      <c r="Z44" s="62"/>
    </row>
    <row r="45" spans="1:34" x14ac:dyDescent="0.3">
      <c r="A45" s="43">
        <v>4.0999999999999996</v>
      </c>
      <c r="B45" s="113">
        <v>-3.5609999999999999</v>
      </c>
      <c r="C45" s="113">
        <v>-3.3542999999999998</v>
      </c>
      <c r="D45" s="31">
        <v>0.20680000000000001</v>
      </c>
      <c r="F45" s="77" t="s">
        <v>25</v>
      </c>
      <c r="G45" s="78"/>
      <c r="H45" s="78"/>
      <c r="I45" s="79"/>
    </row>
    <row r="46" spans="1:34" x14ac:dyDescent="0.3">
      <c r="A46" s="44">
        <v>4.2</v>
      </c>
      <c r="B46" s="114">
        <v>-3.8835999999999999</v>
      </c>
      <c r="C46" s="114">
        <v>-3.6598999999999999</v>
      </c>
      <c r="D46" s="29">
        <v>0.22370000000000001</v>
      </c>
      <c r="F46" s="80"/>
      <c r="G46" s="81"/>
      <c r="H46" s="81"/>
      <c r="I46" s="82"/>
      <c r="AF46" s="45"/>
    </row>
    <row r="47" spans="1:34" x14ac:dyDescent="0.3">
      <c r="A47" s="43">
        <v>4.3</v>
      </c>
      <c r="B47" s="113">
        <v>-4.1818999999999997</v>
      </c>
      <c r="C47" s="113">
        <v>-3.9388000000000001</v>
      </c>
      <c r="D47" s="31">
        <v>0.24310000000000001</v>
      </c>
      <c r="F47" s="83"/>
      <c r="G47" s="84"/>
      <c r="H47" s="84"/>
      <c r="I47" s="85"/>
      <c r="AF47" s="45"/>
    </row>
    <row r="48" spans="1:34" x14ac:dyDescent="0.3">
      <c r="A48" s="44">
        <v>4.4000000000000004</v>
      </c>
      <c r="B48" s="114">
        <v>-4.4515000000000002</v>
      </c>
      <c r="C48" s="114">
        <v>-4.1863000000000001</v>
      </c>
      <c r="D48" s="29">
        <v>0.26519999999999999</v>
      </c>
      <c r="F48" s="86" t="s">
        <v>5</v>
      </c>
      <c r="G48" s="86"/>
      <c r="H48" s="86"/>
      <c r="I48" s="86"/>
      <c r="AF48" s="45"/>
    </row>
    <row r="49" spans="1:32" x14ac:dyDescent="0.3">
      <c r="A49" s="43">
        <v>4.5</v>
      </c>
      <c r="B49" s="113">
        <v>-4.6879</v>
      </c>
      <c r="C49" s="113">
        <v>-4.3981000000000003</v>
      </c>
      <c r="D49" s="31">
        <v>0.2898</v>
      </c>
      <c r="F49" s="87"/>
      <c r="G49" s="87"/>
      <c r="H49" s="87"/>
      <c r="I49" s="87"/>
      <c r="AF49" s="45"/>
    </row>
    <row r="50" spans="1:32" x14ac:dyDescent="0.3">
      <c r="A50" s="44">
        <v>4.5999999999999996</v>
      </c>
      <c r="B50" s="114">
        <v>-4.8869999999999996</v>
      </c>
      <c r="C50" s="114">
        <v>-4.5701999999999998</v>
      </c>
      <c r="D50" s="29">
        <v>0.31680000000000003</v>
      </c>
      <c r="F50" s="88" t="s">
        <v>26</v>
      </c>
      <c r="G50" s="89"/>
      <c r="H50" s="89"/>
      <c r="I50" s="90"/>
      <c r="AF50" s="45"/>
    </row>
    <row r="51" spans="1:32" x14ac:dyDescent="0.3">
      <c r="A51" s="43">
        <v>4.7</v>
      </c>
      <c r="B51" s="113">
        <v>-5.0448000000000004</v>
      </c>
      <c r="C51" s="113">
        <v>-4.6989000000000001</v>
      </c>
      <c r="D51" s="31">
        <v>0.34589999999999999</v>
      </c>
      <c r="F51" s="91"/>
      <c r="G51" s="92"/>
      <c r="H51" s="92"/>
      <c r="I51" s="93"/>
      <c r="AF51" s="45"/>
    </row>
    <row r="52" spans="1:32" x14ac:dyDescent="0.3">
      <c r="A52" s="44">
        <v>4.8</v>
      </c>
      <c r="B52" s="114">
        <v>-5.1580000000000004</v>
      </c>
      <c r="C52" s="114">
        <v>-4.7808000000000002</v>
      </c>
      <c r="D52" s="29">
        <v>0.37719999999999998</v>
      </c>
      <c r="AF52" s="45"/>
    </row>
    <row r="53" spans="1:32" x14ac:dyDescent="0.3">
      <c r="A53" s="43">
        <v>4.9000000000000004</v>
      </c>
      <c r="B53" s="113">
        <v>-5.2233999999999998</v>
      </c>
      <c r="C53" s="113">
        <v>-4.8132000000000001</v>
      </c>
      <c r="D53" s="31">
        <v>0.41020000000000001</v>
      </c>
      <c r="AF53" s="45"/>
    </row>
    <row r="54" spans="1:32" x14ac:dyDescent="0.3">
      <c r="A54" s="120">
        <v>5</v>
      </c>
      <c r="B54" s="122">
        <v>-5.2385999999999999</v>
      </c>
      <c r="C54" s="122">
        <v>-4.7938000000000001</v>
      </c>
      <c r="D54" s="123">
        <v>0.44479999999999997</v>
      </c>
    </row>
    <row r="55" spans="1:32" x14ac:dyDescent="0.3">
      <c r="A55" s="43">
        <v>5.0999999999999996</v>
      </c>
      <c r="B55" s="113">
        <v>-5.2016</v>
      </c>
      <c r="C55" s="113">
        <v>-4.7207999999999997</v>
      </c>
      <c r="D55" s="31">
        <v>0.48080000000000001</v>
      </c>
    </row>
    <row r="56" spans="1:32" x14ac:dyDescent="0.3">
      <c r="A56" s="124">
        <v>5.2</v>
      </c>
      <c r="B56" s="116">
        <v>-5.1108000000000002</v>
      </c>
      <c r="C56" s="116">
        <v>-4.5930999999999997</v>
      </c>
      <c r="D56" s="127">
        <v>0.51770000000000005</v>
      </c>
      <c r="AF56" s="45"/>
    </row>
    <row r="57" spans="1:32" x14ac:dyDescent="0.3">
      <c r="A57" s="129">
        <v>5.3</v>
      </c>
      <c r="B57" s="130">
        <v>-4.9654999999999996</v>
      </c>
      <c r="C57" s="130">
        <v>-4.4100999999999999</v>
      </c>
      <c r="D57" s="131">
        <v>0.55530000000000002</v>
      </c>
      <c r="AF57" s="45"/>
    </row>
    <row r="58" spans="1:32" x14ac:dyDescent="0.3">
      <c r="A58" s="132">
        <v>5.4</v>
      </c>
      <c r="B58" s="133">
        <v>-4.7652999999999999</v>
      </c>
      <c r="C58" s="133">
        <v>-4.1719999999999997</v>
      </c>
      <c r="D58" s="125">
        <v>0.59330000000000005</v>
      </c>
      <c r="AF58" s="45"/>
    </row>
    <row r="59" spans="1:32" x14ac:dyDescent="0.3">
      <c r="A59" s="134">
        <v>5.5</v>
      </c>
      <c r="B59" s="135">
        <v>-4.5107999999999997</v>
      </c>
      <c r="C59" s="135">
        <v>-3.8795999999999999</v>
      </c>
      <c r="D59" s="136">
        <v>0.63129999999999997</v>
      </c>
      <c r="AF59" s="45"/>
    </row>
    <row r="60" spans="1:32" x14ac:dyDescent="0.3">
      <c r="A60" s="124">
        <v>5.6</v>
      </c>
      <c r="B60" s="116">
        <v>-4.2031000000000001</v>
      </c>
      <c r="C60" s="116">
        <v>-3.5341999999999998</v>
      </c>
      <c r="D60" s="126">
        <v>0.66890000000000005</v>
      </c>
      <c r="AF60" s="45"/>
    </row>
    <row r="61" spans="1:32" x14ac:dyDescent="0.3">
      <c r="A61" s="137">
        <v>5.7</v>
      </c>
      <c r="B61" s="138">
        <v>-3.8437999999999999</v>
      </c>
      <c r="C61" s="138">
        <v>-3.1379999999999999</v>
      </c>
      <c r="D61" s="139">
        <v>0.70589999999999997</v>
      </c>
      <c r="AF61" s="45"/>
    </row>
    <row r="62" spans="1:32" x14ac:dyDescent="0.3">
      <c r="A62" s="124">
        <v>5.8</v>
      </c>
      <c r="B62" s="116">
        <v>-3.4355000000000002</v>
      </c>
      <c r="C62" s="116">
        <v>-2.6937000000000002</v>
      </c>
      <c r="D62" s="126">
        <v>0.74170000000000003</v>
      </c>
      <c r="AF62" s="45"/>
    </row>
    <row r="63" spans="1:32" x14ac:dyDescent="0.3">
      <c r="A63" s="137">
        <v>5.9</v>
      </c>
      <c r="B63" s="138">
        <v>-2.9811000000000001</v>
      </c>
      <c r="C63" s="138">
        <v>-2.2048999999999999</v>
      </c>
      <c r="D63" s="139">
        <v>0.7762</v>
      </c>
      <c r="AF63" s="45"/>
    </row>
    <row r="64" spans="1:32" x14ac:dyDescent="0.3">
      <c r="A64" s="132">
        <v>6</v>
      </c>
      <c r="B64" s="133">
        <v>-2.4843999999999999</v>
      </c>
      <c r="C64" s="133">
        <v>-1.6755</v>
      </c>
      <c r="D64" s="125">
        <v>0.80889999999999995</v>
      </c>
    </row>
    <row r="66" spans="5:32" x14ac:dyDescent="0.3">
      <c r="AF66" s="45"/>
    </row>
    <row r="67" spans="5:32" x14ac:dyDescent="0.3">
      <c r="E67" s="145"/>
      <c r="AF67" s="45"/>
    </row>
    <row r="68" spans="5:32" x14ac:dyDescent="0.3">
      <c r="AF68" s="45"/>
    </row>
    <row r="69" spans="5:32" x14ac:dyDescent="0.3">
      <c r="AF69" s="45"/>
    </row>
    <row r="70" spans="5:32" x14ac:dyDescent="0.3">
      <c r="AF70" s="45"/>
    </row>
    <row r="71" spans="5:32" x14ac:dyDescent="0.3">
      <c r="AF71" s="45"/>
    </row>
    <row r="72" spans="5:32" x14ac:dyDescent="0.3">
      <c r="AF72" s="45"/>
    </row>
    <row r="73" spans="5:32" x14ac:dyDescent="0.3">
      <c r="AF73" s="45"/>
    </row>
  </sheetData>
  <mergeCells count="23">
    <mergeCell ref="X40:Z40"/>
    <mergeCell ref="X41:Z41"/>
    <mergeCell ref="X43:Z43"/>
    <mergeCell ref="X44:Z44"/>
    <mergeCell ref="U43:W43"/>
    <mergeCell ref="A2:B3"/>
    <mergeCell ref="C2:D3"/>
    <mergeCell ref="F2:G3"/>
    <mergeCell ref="H2:I3"/>
    <mergeCell ref="O40:Q40"/>
    <mergeCell ref="R40:T40"/>
    <mergeCell ref="U40:W40"/>
    <mergeCell ref="F45:I47"/>
    <mergeCell ref="F48:I49"/>
    <mergeCell ref="F50:I51"/>
    <mergeCell ref="O41:Q41"/>
    <mergeCell ref="R41:T41"/>
    <mergeCell ref="U41:W41"/>
    <mergeCell ref="O44:Q44"/>
    <mergeCell ref="R44:T44"/>
    <mergeCell ref="U44:W44"/>
    <mergeCell ref="O43:Q43"/>
    <mergeCell ref="R43:T4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F1EA72-09E1-4DC4-BF2A-B4AD3CF865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63</vt:lpstr>
      <vt:lpstr>141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Даша Р</dc:creator>
  <cp:keywords/>
  <dc:description/>
  <cp:lastModifiedBy>admin</cp:lastModifiedBy>
  <cp:revision/>
  <dcterms:created xsi:type="dcterms:W3CDTF">2015-06-05T18:19:34Z</dcterms:created>
  <dcterms:modified xsi:type="dcterms:W3CDTF">2026-05-12T19:46:28Z</dcterms:modified>
  <cp:category/>
  <cp:contentStatus/>
</cp:coreProperties>
</file>