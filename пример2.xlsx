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7104" yWindow="2100" windowWidth="10968" windowHeight="9960" activeTab="1"/>
  </bookViews>
  <sheets>
    <sheet name="63" sheetId="3" r:id="rId1"/>
    <sheet name="141" sheetId="5" r:id="rId2"/>
  </sheets>
  <externalReferences>
    <externalReference r:id="rId3"/>
  </externalReference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3" i="3" l="1"/>
  <c r="F60" i="3"/>
  <c r="C63" i="3"/>
  <c r="C60" i="3"/>
  <c r="O41" i="5"/>
  <c r="R41" i="5"/>
  <c r="O44" i="5"/>
  <c r="U41" i="5" l="1"/>
  <c r="X41" i="5" s="1"/>
  <c r="R44" i="5" l="1"/>
  <c r="U44" i="5" l="1"/>
  <c r="X44" i="5" s="1"/>
  <c r="I63" i="3" l="1"/>
  <c r="L63" i="3" s="1"/>
  <c r="I60" i="3"/>
  <c r="L60" i="3" s="1"/>
</calcChain>
</file>

<file path=xl/connections.xml><?xml version="1.0" encoding="utf-8"?>
<connections xmlns="http://schemas.openxmlformats.org/spreadsheetml/2006/main">
  <connection id="1" keepAlive="1" name="Запрос — output" description="Соединение с запросом &quot;output&quot; в книге." type="5" refreshedVersion="0" background="1">
    <dbPr connection="Provider=Microsoft.Mashup.OleDb.1;Data Source=$Workbook$;Location=output;Extended Properties=&quot;&quot;" command="SELECT * FROM [output]"/>
  </connection>
  <connection id="2" keepAlive="1" name="Запрос — output (2)" description="Соединение с запросом &quot;output (2)&quot; в книге." type="5" refreshedVersion="0" background="1">
    <dbPr connection="Provider=Microsoft.Mashup.OleDb.1;Data Source=$Workbook$;Location=&quot;output (2)&quot;;Extended Properties=&quot;&quot;" command="SELECT * FROM [output (2)]"/>
  </connection>
  <connection id="3" keepAlive="1" name="Запрос — output (3)" description="Соединение с запросом &quot;output (3)&quot; в книге." type="5" refreshedVersion="0" background="1">
    <dbPr connection="Provider=Microsoft.Mashup.OleDb.1;Data Source=$Workbook$;Location=&quot;output (3)&quot;;Extended Properties=&quot;&quot;" command="SELECT * FROM [output (3)]"/>
  </connection>
</connections>
</file>

<file path=xl/sharedStrings.xml><?xml version="1.0" encoding="utf-8"?>
<sst xmlns="http://schemas.openxmlformats.org/spreadsheetml/2006/main" count="85" uniqueCount="57">
  <si>
    <t>x</t>
  </si>
  <si>
    <t>y</t>
  </si>
  <si>
    <t>delta</t>
  </si>
  <si>
    <t>delta(h)</t>
  </si>
  <si>
    <t xml:space="preserve">  Исходное уравнение:</t>
  </si>
  <si>
    <t xml:space="preserve">  Точное решение:</t>
  </si>
  <si>
    <t>max delta (при h=0.1)</t>
  </si>
  <si>
    <t>max delta (при h=0.2)</t>
  </si>
  <si>
    <t>Отношение погрешностей</t>
  </si>
  <si>
    <t>средн. delta (при h=0.1)</t>
  </si>
  <si>
    <t>средн. delta (при h=0.2)</t>
  </si>
  <si>
    <t>max delta (при h=0.25)</t>
  </si>
  <si>
    <t>max delta (при h=0.5)</t>
  </si>
  <si>
    <t>средн. delta (при h=0.25)</t>
  </si>
  <si>
    <t>средн. delta (при h=0.5)</t>
  </si>
  <si>
    <t>Численное решение
(h=0.1)</t>
  </si>
  <si>
    <t>Точное решение
(h=0.1)</t>
  </si>
  <si>
    <t>Численное решение
(h=0.2)</t>
  </si>
  <si>
    <t>Точное решение
(h=0.2)</t>
  </si>
  <si>
    <t>u</t>
  </si>
  <si>
    <t>Порядок точности</t>
  </si>
  <si>
    <t>y' - y = 2x - 3</t>
  </si>
  <si>
    <t>Точное решение</t>
  </si>
  <si>
    <t>Исходное ур.</t>
  </si>
  <si>
    <r>
      <t>2x + y - 1 = e</t>
    </r>
    <r>
      <rPr>
        <vertAlign val="superscript"/>
        <sz val="28"/>
        <color theme="1"/>
        <rFont val="Calibri"/>
        <family val="2"/>
        <charset val="204"/>
        <scheme val="minor"/>
      </rPr>
      <t>x</t>
    </r>
  </si>
  <si>
    <t>y = x(y' - xcos(x))</t>
  </si>
  <si>
    <t>y = x(C + sin(x))</t>
  </si>
  <si>
    <t>01,01,2528</t>
  </si>
  <si>
    <t>01,01,3799</t>
  </si>
  <si>
    <t>01,01,2809</t>
  </si>
  <si>
    <t>01,01,4965</t>
  </si>
  <si>
    <t>01,01,3769</t>
  </si>
  <si>
    <t>01,01,5996</t>
  </si>
  <si>
    <t>01,01,4583</t>
  </si>
  <si>
    <t>01,01,6861</t>
  </si>
  <si>
    <t>01,01,5222</t>
  </si>
  <si>
    <t>01,01,7532</t>
  </si>
  <si>
    <t>01,01,5659</t>
  </si>
  <si>
    <t>01,01,7983</t>
  </si>
  <si>
    <t>01,01,5868</t>
  </si>
  <si>
    <t>01,01,8189</t>
  </si>
  <si>
    <t>01,01,5830</t>
  </si>
  <si>
    <t>01,01,8131</t>
  </si>
  <si>
    <t>01,01,5523</t>
  </si>
  <si>
    <t>01,01,7791</t>
  </si>
  <si>
    <t>01,01,4934</t>
  </si>
  <si>
    <t>01,01,7155</t>
  </si>
  <si>
    <t>01,01,4051</t>
  </si>
  <si>
    <t>01,01,6215</t>
  </si>
  <si>
    <t>01,01,2867</t>
  </si>
  <si>
    <t>01,01,4966</t>
  </si>
  <si>
    <t>01,01,3407</t>
  </si>
  <si>
    <t>01,01,2965</t>
  </si>
  <si>
    <t>01,01,4052</t>
  </si>
  <si>
    <t>01,01,4303</t>
  </si>
  <si>
    <t>01,01,3545</t>
  </si>
  <si>
    <t>01,01,3213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</si>
</sst>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8" formatCode="0.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i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26"/>
      <color theme="1"/>
      <name val="Calibri"/>
      <family val="2"/>
      <charset val="204"/>
      <scheme val="minor"/>
    </font>
    <font>
      <sz val="28"/>
      <color theme="1"/>
      <name val="Calibri"/>
      <family val="2"/>
      <charset val="204"/>
      <scheme val="minor"/>
    </font>
    <font>
      <sz val="18"/>
      <color theme="1"/>
      <name val="Calibri"/>
      <family val="2"/>
      <charset val="204"/>
      <scheme val="minor"/>
    </font>
    <font>
      <vertAlign val="superscript"/>
      <sz val="28"/>
      <color theme="1"/>
      <name val="Calibri"/>
      <family val="2"/>
      <charset val="204"/>
      <scheme val="minor"/>
    </font>
    <font>
      <sz val="18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double">
        <color auto="1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double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double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7558519241921"/>
      </left>
      <right/>
      <top/>
      <bottom style="thin">
        <color theme="9" tint="0.39997558519241921"/>
      </bottom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5" borderId="33" xfId="1" applyFont="1" applyFill="1" applyBorder="1"/>
    <xf numFmtId="0" fontId="1" fillId="5" borderId="28" xfId="1" applyFont="1" applyFill="1" applyBorder="1"/>
    <xf numFmtId="0" fontId="1" fillId="0" borderId="28" xfId="1" applyFont="1" applyBorder="1"/>
    <xf numFmtId="0" fontId="2" fillId="0" borderId="8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7" fillId="4" borderId="0" xfId="0" applyFont="1" applyFill="1" applyBorder="1" applyAlignment="1">
      <alignment vertical="center"/>
    </xf>
    <xf numFmtId="0" fontId="0" fillId="4" borderId="0" xfId="0" applyFill="1" applyBorder="1" applyAlignment="1">
      <alignment vertical="center"/>
    </xf>
    <xf numFmtId="0" fontId="0" fillId="5" borderId="29" xfId="0" applyNumberFormat="1" applyFont="1" applyFill="1" applyBorder="1"/>
    <xf numFmtId="0" fontId="0" fillId="5" borderId="30" xfId="0" applyNumberFormat="1" applyFont="1" applyFill="1" applyBorder="1"/>
    <xf numFmtId="0" fontId="0" fillId="0" borderId="29" xfId="0" applyNumberFormat="1" applyFont="1" applyBorder="1"/>
    <xf numFmtId="0" fontId="0" fillId="0" borderId="30" xfId="0" applyNumberFormat="1" applyFont="1" applyBorder="1"/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4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4" fillId="3" borderId="36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 wrapText="1"/>
    </xf>
    <xf numFmtId="0" fontId="4" fillId="3" borderId="37" xfId="0" applyFont="1" applyFill="1" applyBorder="1" applyAlignment="1">
      <alignment horizontal="center" vertical="center" wrapText="1"/>
    </xf>
    <xf numFmtId="0" fontId="4" fillId="3" borderId="40" xfId="0" applyFont="1" applyFill="1" applyBorder="1" applyAlignment="1">
      <alignment horizontal="center" vertical="center" wrapText="1"/>
    </xf>
    <xf numFmtId="0" fontId="6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/>
    </xf>
    <xf numFmtId="0" fontId="6" fillId="4" borderId="37" xfId="0" applyFont="1" applyFill="1" applyBorder="1" applyAlignment="1">
      <alignment horizontal="center" vertical="center"/>
    </xf>
    <xf numFmtId="0" fontId="6" fillId="4" borderId="36" xfId="0" applyFont="1" applyFill="1" applyBorder="1" applyAlignment="1">
      <alignment horizontal="center" vertical="center"/>
    </xf>
    <xf numFmtId="0" fontId="6" fillId="4" borderId="38" xfId="0" applyFont="1" applyFill="1" applyBorder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6" fillId="4" borderId="39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40" xfId="0" applyFont="1" applyFill="1" applyBorder="1" applyAlignment="1">
      <alignment horizontal="center" vertical="center"/>
    </xf>
    <xf numFmtId="0" fontId="6" fillId="4" borderId="41" xfId="0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/>
    </xf>
    <xf numFmtId="0" fontId="9" fillId="4" borderId="40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4" borderId="41" xfId="0" applyFill="1" applyBorder="1" applyAlignment="1">
      <alignment horizontal="center" vertical="center"/>
    </xf>
    <xf numFmtId="2" fontId="0" fillId="0" borderId="28" xfId="0" applyNumberFormat="1" applyFont="1" applyBorder="1"/>
    <xf numFmtId="2" fontId="0" fillId="0" borderId="29" xfId="0" applyNumberFormat="1" applyFont="1" applyBorder="1"/>
    <xf numFmtId="2" fontId="0" fillId="0" borderId="30" xfId="0" applyNumberFormat="1" applyFont="1" applyBorder="1"/>
    <xf numFmtId="2" fontId="0" fillId="5" borderId="28" xfId="0" applyNumberFormat="1" applyFont="1" applyFill="1" applyBorder="1"/>
    <xf numFmtId="2" fontId="0" fillId="5" borderId="29" xfId="0" applyNumberFormat="1" applyFont="1" applyFill="1" applyBorder="1"/>
    <xf numFmtId="2" fontId="0" fillId="5" borderId="30" xfId="0" applyNumberFormat="1" applyFont="1" applyFill="1" applyBorder="1"/>
    <xf numFmtId="168" fontId="0" fillId="0" borderId="18" xfId="0" applyNumberFormat="1" applyBorder="1" applyAlignment="1">
      <alignment horizontal="center" vertical="center"/>
    </xf>
    <xf numFmtId="168" fontId="0" fillId="0" borderId="19" xfId="0" applyNumberFormat="1" applyBorder="1" applyAlignment="1">
      <alignment horizontal="center" vertical="center"/>
    </xf>
    <xf numFmtId="168" fontId="0" fillId="0" borderId="20" xfId="0" applyNumberFormat="1" applyBorder="1" applyAlignment="1">
      <alignment horizontal="center" vertical="center"/>
    </xf>
    <xf numFmtId="168" fontId="0" fillId="0" borderId="27" xfId="0" applyNumberFormat="1" applyBorder="1" applyAlignment="1">
      <alignment horizontal="center" vertical="center"/>
    </xf>
    <xf numFmtId="164" fontId="1" fillId="0" borderId="33" xfId="1" applyNumberFormat="1" applyFont="1" applyBorder="1"/>
    <xf numFmtId="164" fontId="1" fillId="5" borderId="28" xfId="1" applyNumberFormat="1" applyFont="1" applyFill="1" applyBorder="1"/>
    <xf numFmtId="164" fontId="1" fillId="0" borderId="28" xfId="1" applyNumberFormat="1" applyFont="1" applyBorder="1"/>
    <xf numFmtId="168" fontId="1" fillId="0" borderId="31" xfId="1" applyNumberFormat="1" applyFont="1" applyBorder="1"/>
    <xf numFmtId="168" fontId="1" fillId="0" borderId="34" xfId="1" applyNumberFormat="1" applyFont="1" applyBorder="1"/>
    <xf numFmtId="168" fontId="1" fillId="5" borderId="29" xfId="1" applyNumberFormat="1" applyFont="1" applyFill="1" applyBorder="1"/>
    <xf numFmtId="168" fontId="1" fillId="5" borderId="30" xfId="1" applyNumberFormat="1" applyFont="1" applyFill="1" applyBorder="1"/>
    <xf numFmtId="168" fontId="1" fillId="0" borderId="29" xfId="1" applyNumberFormat="1" applyFont="1" applyBorder="1"/>
    <xf numFmtId="168" fontId="1" fillId="0" borderId="30" xfId="1" applyNumberFormat="1" applyFont="1" applyBorder="1"/>
    <xf numFmtId="168" fontId="1" fillId="5" borderId="31" xfId="1" applyNumberFormat="1" applyFont="1" applyFill="1" applyBorder="1"/>
    <xf numFmtId="168" fontId="1" fillId="5" borderId="34" xfId="1" applyNumberFormat="1" applyFont="1" applyFill="1" applyBorder="1"/>
    <xf numFmtId="168" fontId="0" fillId="0" borderId="10" xfId="0" applyNumberFormat="1" applyBorder="1" applyAlignment="1">
      <alignment horizontal="center" vertical="center"/>
    </xf>
    <xf numFmtId="168" fontId="0" fillId="0" borderId="17" xfId="0" applyNumberFormat="1" applyBorder="1" applyAlignment="1">
      <alignment horizontal="center" vertical="center"/>
    </xf>
    <xf numFmtId="0" fontId="0" fillId="5" borderId="28" xfId="0" applyNumberFormat="1" applyFont="1" applyFill="1" applyBorder="1"/>
    <xf numFmtId="0" fontId="0" fillId="0" borderId="28" xfId="0" applyNumberFormat="1" applyFont="1" applyBorder="1"/>
    <xf numFmtId="17" fontId="0" fillId="0" borderId="0" xfId="0" applyNumberFormat="1"/>
    <xf numFmtId="2" fontId="0" fillId="0" borderId="0" xfId="0" applyNumberFormat="1"/>
    <xf numFmtId="2" fontId="0" fillId="0" borderId="0" xfId="0" applyNumberFormat="1" applyBorder="1"/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sng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ru-RU" u="sng"/>
              <a:t>График решения</a:t>
            </a:r>
            <a:r>
              <a:rPr lang="en-US" u="sng"/>
              <a:t> </a:t>
            </a:r>
            <a:endParaRPr lang="ru-RU" u="sng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6067040687782241E-2"/>
          <c:y val="6.1857755047173009E-2"/>
          <c:w val="0.7480743047913907"/>
          <c:h val="0.84728244994033297"/>
        </c:manualLayout>
      </c:layout>
      <c:scatterChart>
        <c:scatterStyle val="lineMarker"/>
        <c:varyColors val="0"/>
        <c:ser>
          <c:idx val="0"/>
          <c:order val="0"/>
          <c:tx>
            <c:v>у (h=0.1)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'63'!$A$4:$A$54</c:f>
              <c:numCache>
                <c:formatCode>General</c:formatCode>
                <c:ptCount val="5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</c:numCache>
            </c:numRef>
          </c:xVal>
          <c:yVal>
            <c:numRef>
              <c:f>'63'!$C$4:$C$54</c:f>
              <c:numCache>
                <c:formatCode>0.000000</c:formatCode>
                <c:ptCount val="51"/>
                <c:pt idx="0">
                  <c:v>2</c:v>
                </c:pt>
                <c:pt idx="1">
                  <c:v>1.9051709999999999</c:v>
                </c:pt>
                <c:pt idx="2">
                  <c:v>1.8214030000000001</c:v>
                </c:pt>
                <c:pt idx="3">
                  <c:v>1.7498590000000001</c:v>
                </c:pt>
                <c:pt idx="4">
                  <c:v>1.6918249999999999</c:v>
                </c:pt>
                <c:pt idx="5">
                  <c:v>1.6487210000000001</c:v>
                </c:pt>
                <c:pt idx="6">
                  <c:v>1.6221190000000001</c:v>
                </c:pt>
                <c:pt idx="7">
                  <c:v>1.613753</c:v>
                </c:pt>
                <c:pt idx="8">
                  <c:v>1.6255409999999999</c:v>
                </c:pt>
                <c:pt idx="9">
                  <c:v>1.6596029999999999</c:v>
                </c:pt>
                <c:pt idx="10">
                  <c:v>1.7182820000000001</c:v>
                </c:pt>
                <c:pt idx="11">
                  <c:v>1.8041659999999999</c:v>
                </c:pt>
                <c:pt idx="12">
                  <c:v>1.9201170000000001</c:v>
                </c:pt>
                <c:pt idx="13">
                  <c:v>2.0692970000000002</c:v>
                </c:pt>
                <c:pt idx="14">
                  <c:v>2.2551999999999999</c:v>
                </c:pt>
                <c:pt idx="15">
                  <c:v>2.4816889999999998</c:v>
                </c:pt>
                <c:pt idx="16">
                  <c:v>2.7530320000000001</c:v>
                </c:pt>
                <c:pt idx="17">
                  <c:v>3.073947</c:v>
                </c:pt>
                <c:pt idx="18">
                  <c:v>3.4496470000000001</c:v>
                </c:pt>
                <c:pt idx="19">
                  <c:v>3.885894</c:v>
                </c:pt>
                <c:pt idx="20">
                  <c:v>4.3890560000000001</c:v>
                </c:pt>
                <c:pt idx="21">
                  <c:v>4.96617</c:v>
                </c:pt>
                <c:pt idx="22">
                  <c:v>5.625013</c:v>
                </c:pt>
                <c:pt idx="23">
                  <c:v>6.3741820000000002</c:v>
                </c:pt>
                <c:pt idx="24">
                  <c:v>7.2231759999999996</c:v>
                </c:pt>
                <c:pt idx="25">
                  <c:v>8.1824940000000002</c:v>
                </c:pt>
                <c:pt idx="26">
                  <c:v>9.263738</c:v>
                </c:pt>
                <c:pt idx="27">
                  <c:v>10.479732</c:v>
                </c:pt>
                <c:pt idx="28">
                  <c:v>11.844647</c:v>
                </c:pt>
                <c:pt idx="29">
                  <c:v>13.374145</c:v>
                </c:pt>
                <c:pt idx="30">
                  <c:v>15.085537</c:v>
                </c:pt>
                <c:pt idx="31">
                  <c:v>16.997951</c:v>
                </c:pt>
                <c:pt idx="32">
                  <c:v>19.132529999999999</c:v>
                </c:pt>
                <c:pt idx="33">
                  <c:v>21.512639</c:v>
                </c:pt>
                <c:pt idx="34">
                  <c:v>24.164100000000001</c:v>
                </c:pt>
                <c:pt idx="35">
                  <c:v>27.115452000000001</c:v>
                </c:pt>
                <c:pt idx="36">
                  <c:v>30.398233999999999</c:v>
                </c:pt>
                <c:pt idx="37">
                  <c:v>34.047303999999997</c:v>
                </c:pt>
                <c:pt idx="38">
                  <c:v>38.101184000000003</c:v>
                </c:pt>
                <c:pt idx="39">
                  <c:v>42.602449</c:v>
                </c:pt>
                <c:pt idx="40">
                  <c:v>47.598149999999997</c:v>
                </c:pt>
                <c:pt idx="41">
                  <c:v>53.140287999999998</c:v>
                </c:pt>
                <c:pt idx="42">
                  <c:v>59.286330999999997</c:v>
                </c:pt>
                <c:pt idx="43">
                  <c:v>66.099794000000003</c:v>
                </c:pt>
                <c:pt idx="44">
                  <c:v>73.650869</c:v>
                </c:pt>
                <c:pt idx="45">
                  <c:v>82.017131000000006</c:v>
                </c:pt>
                <c:pt idx="46">
                  <c:v>91.284316000000004</c:v>
                </c:pt>
                <c:pt idx="47">
                  <c:v>101.547172</c:v>
                </c:pt>
                <c:pt idx="48">
                  <c:v>112.91041800000001</c:v>
                </c:pt>
                <c:pt idx="49">
                  <c:v>125.48978</c:v>
                </c:pt>
                <c:pt idx="50">
                  <c:v>139.41315900000001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39C-4370-BDE1-BE5AB9D4E9A0}"/>
            </c:ext>
          </c:extLst>
        </c:ser>
        <c:ser>
          <c:idx val="1"/>
          <c:order val="1"/>
          <c:tx>
            <c:v>y (h=0.2)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'63'!$F$4:$F$29</c:f>
              <c:numCache>
                <c:formatCode>0.0</c:formatCode>
                <c:ptCount val="26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2.2000000000000002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4.4000000000000004</c:v>
                </c:pt>
                <c:pt idx="23">
                  <c:v>4.5999999999999996</c:v>
                </c:pt>
                <c:pt idx="24">
                  <c:v>4.8</c:v>
                </c:pt>
                <c:pt idx="25">
                  <c:v>5</c:v>
                </c:pt>
              </c:numCache>
            </c:numRef>
          </c:xVal>
          <c:yVal>
            <c:numRef>
              <c:f>'63'!$G$4:$G$29</c:f>
              <c:numCache>
                <c:formatCode>0.000000</c:formatCode>
                <c:ptCount val="26"/>
                <c:pt idx="0">
                  <c:v>2</c:v>
                </c:pt>
                <c:pt idx="1">
                  <c:v>1.8</c:v>
                </c:pt>
                <c:pt idx="2">
                  <c:v>1.64</c:v>
                </c:pt>
                <c:pt idx="3">
                  <c:v>1.528</c:v>
                </c:pt>
                <c:pt idx="4">
                  <c:v>1.4736</c:v>
                </c:pt>
                <c:pt idx="5">
                  <c:v>1.4883200000000001</c:v>
                </c:pt>
                <c:pt idx="6">
                  <c:v>1.5859840000000001</c:v>
                </c:pt>
                <c:pt idx="7">
                  <c:v>1.7831809999999999</c:v>
                </c:pt>
                <c:pt idx="8">
                  <c:v>2.0998169999999998</c:v>
                </c:pt>
                <c:pt idx="9">
                  <c:v>2.5597799999999999</c:v>
                </c:pt>
                <c:pt idx="10">
                  <c:v>3.1917360000000001</c:v>
                </c:pt>
                <c:pt idx="11">
                  <c:v>4.0300840000000004</c:v>
                </c:pt>
                <c:pt idx="12">
                  <c:v>5.1161000000000003</c:v>
                </c:pt>
                <c:pt idx="13">
                  <c:v>6.4993210000000001</c:v>
                </c:pt>
                <c:pt idx="14">
                  <c:v>8.2391850000000009</c:v>
                </c:pt>
                <c:pt idx="15">
                  <c:v>10.407022</c:v>
                </c:pt>
                <c:pt idx="16">
                  <c:v>13.088426</c:v>
                </c:pt>
                <c:pt idx="17">
                  <c:v>16.386111</c:v>
                </c:pt>
                <c:pt idx="18">
                  <c:v>20.423333</c:v>
                </c:pt>
                <c:pt idx="19">
                  <c:v>25.347999999999999</c:v>
                </c:pt>
                <c:pt idx="20">
                  <c:v>31.337599999999998</c:v>
                </c:pt>
                <c:pt idx="21">
                  <c:v>38.605119999999999</c:v>
                </c:pt>
                <c:pt idx="22">
                  <c:v>47.406143999999998</c:v>
                </c:pt>
                <c:pt idx="23">
                  <c:v>58.047373</c:v>
                </c:pt>
                <c:pt idx="24">
                  <c:v>70.896846999999994</c:v>
                </c:pt>
                <c:pt idx="25">
                  <c:v>86.396216999999993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39C-4370-BDE1-BE5AB9D4E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0507904"/>
        <c:axId val="260526464"/>
      </c:scatterChart>
      <c:scatterChart>
        <c:scatterStyle val="smoothMarker"/>
        <c:varyColors val="0"/>
        <c:ser>
          <c:idx val="2"/>
          <c:order val="2"/>
          <c:tx>
            <c:v>у (точное)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'63'!$A$4:$A$54</c:f>
              <c:numCache>
                <c:formatCode>General</c:formatCode>
                <c:ptCount val="5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</c:numCache>
            </c:numRef>
          </c:xVal>
          <c:yVal>
            <c:numRef>
              <c:f>'63'!$B$4:$B$54</c:f>
              <c:numCache>
                <c:formatCode>0.000000</c:formatCode>
                <c:ptCount val="51"/>
                <c:pt idx="0">
                  <c:v>2</c:v>
                </c:pt>
                <c:pt idx="1">
                  <c:v>1.9</c:v>
                </c:pt>
                <c:pt idx="2">
                  <c:v>1.81</c:v>
                </c:pt>
                <c:pt idx="3">
                  <c:v>1.7310000000000001</c:v>
                </c:pt>
                <c:pt idx="4">
                  <c:v>1.6640999999999999</c:v>
                </c:pt>
                <c:pt idx="5">
                  <c:v>1.6105100000000001</c:v>
                </c:pt>
                <c:pt idx="6">
                  <c:v>1.571561</c:v>
                </c:pt>
                <c:pt idx="7">
                  <c:v>1.5487169999999999</c:v>
                </c:pt>
                <c:pt idx="8">
                  <c:v>1.5435890000000001</c:v>
                </c:pt>
                <c:pt idx="9">
                  <c:v>1.5579480000000001</c:v>
                </c:pt>
                <c:pt idx="10">
                  <c:v>1.593742</c:v>
                </c:pt>
                <c:pt idx="11">
                  <c:v>1.6531169999999999</c:v>
                </c:pt>
                <c:pt idx="12">
                  <c:v>1.7384280000000001</c:v>
                </c:pt>
                <c:pt idx="13">
                  <c:v>1.852271</c:v>
                </c:pt>
                <c:pt idx="14">
                  <c:v>1.997498</c:v>
                </c:pt>
                <c:pt idx="15">
                  <c:v>2.1772480000000001</c:v>
                </c:pt>
                <c:pt idx="16">
                  <c:v>2.3949729999999998</c:v>
                </c:pt>
                <c:pt idx="17">
                  <c:v>2.6544699999999999</c:v>
                </c:pt>
                <c:pt idx="18">
                  <c:v>2.9599169999999999</c:v>
                </c:pt>
                <c:pt idx="19">
                  <c:v>3.315909</c:v>
                </c:pt>
                <c:pt idx="20">
                  <c:v>3.7275</c:v>
                </c:pt>
                <c:pt idx="21">
                  <c:v>4.2002499999999996</c:v>
                </c:pt>
                <c:pt idx="22">
                  <c:v>4.7402749999999996</c:v>
                </c:pt>
                <c:pt idx="23">
                  <c:v>5.3543019999999997</c:v>
                </c:pt>
                <c:pt idx="24">
                  <c:v>6.0497329999999998</c:v>
                </c:pt>
                <c:pt idx="25">
                  <c:v>6.8347059999999997</c:v>
                </c:pt>
                <c:pt idx="26">
                  <c:v>7.7181769999999998</c:v>
                </c:pt>
                <c:pt idx="27">
                  <c:v>8.709994</c:v>
                </c:pt>
                <c:pt idx="28">
                  <c:v>9.8209940000000007</c:v>
                </c:pt>
                <c:pt idx="29">
                  <c:v>11.063093</c:v>
                </c:pt>
                <c:pt idx="30">
                  <c:v>12.449401999999999</c:v>
                </c:pt>
                <c:pt idx="31">
                  <c:v>13.994342</c:v>
                </c:pt>
                <c:pt idx="32">
                  <c:v>15.713777</c:v>
                </c:pt>
                <c:pt idx="33">
                  <c:v>17.625153999999998</c:v>
                </c:pt>
                <c:pt idx="34">
                  <c:v>19.747669999999999</c:v>
                </c:pt>
                <c:pt idx="35">
                  <c:v>22.102436999999998</c:v>
                </c:pt>
                <c:pt idx="36">
                  <c:v>24.712681</c:v>
                </c:pt>
                <c:pt idx="37">
                  <c:v>27.603949</c:v>
                </c:pt>
                <c:pt idx="38">
                  <c:v>30.804342999999999</c:v>
                </c:pt>
                <c:pt idx="39">
                  <c:v>34.344777999999998</c:v>
                </c:pt>
                <c:pt idx="40">
                  <c:v>38.259256000000001</c:v>
                </c:pt>
                <c:pt idx="41">
                  <c:v>42.585180999999999</c:v>
                </c:pt>
                <c:pt idx="42">
                  <c:v>47.363698999999997</c:v>
                </c:pt>
                <c:pt idx="43">
                  <c:v>52.640068999999997</c:v>
                </c:pt>
                <c:pt idx="44">
                  <c:v>58.464075999999999</c:v>
                </c:pt>
                <c:pt idx="45">
                  <c:v>64.890484000000001</c:v>
                </c:pt>
                <c:pt idx="46">
                  <c:v>71.979532000000006</c:v>
                </c:pt>
                <c:pt idx="47">
                  <c:v>79.797484999999995</c:v>
                </c:pt>
                <c:pt idx="48">
                  <c:v>88.417233999999993</c:v>
                </c:pt>
                <c:pt idx="49">
                  <c:v>97.918957000000006</c:v>
                </c:pt>
                <c:pt idx="50">
                  <c:v>108.39085300000001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539C-4370-BDE1-BE5AB9D4E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0507904"/>
        <c:axId val="260526464"/>
      </c:scatterChart>
      <c:valAx>
        <c:axId val="260507904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600" b="1"/>
                  <a:t>х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0526464"/>
        <c:crosses val="autoZero"/>
        <c:crossBetween val="midCat"/>
      </c:valAx>
      <c:valAx>
        <c:axId val="26052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600" b="1"/>
                  <a:t>у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0507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131982393643811"/>
          <c:y val="0.43955406679138948"/>
          <c:w val="0.16868017606356192"/>
          <c:h val="0.132300781213835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 sz="1100">
          <a:solidFill>
            <a:schemeClr val="dk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sng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ru-RU" u="sng"/>
              <a:t>График </a:t>
            </a:r>
            <a:r>
              <a:rPr lang="ru-RU" sz="1320" b="0" i="0" u="sng" strike="noStrike" baseline="0">
                <a:effectLst/>
              </a:rPr>
              <a:t>ошибки </a:t>
            </a:r>
            <a:r>
              <a:rPr lang="ru-RU" u="sng"/>
              <a:t>решения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6067040687782241E-2"/>
          <c:y val="6.1857755047173009E-2"/>
          <c:w val="0.7480743047913907"/>
          <c:h val="0.84728244994033297"/>
        </c:manualLayout>
      </c:layout>
      <c:scatterChart>
        <c:scatterStyle val="smoothMarker"/>
        <c:varyColors val="0"/>
        <c:ser>
          <c:idx val="0"/>
          <c:order val="0"/>
          <c:tx>
            <c:v>Погрешность(h)</c:v>
          </c:tx>
          <c:marker>
            <c:symbol val="none"/>
          </c:marker>
          <c:xVal>
            <c:numRef>
              <c:f>'63'!$A$4:$A$54</c:f>
              <c:numCache>
                <c:formatCode>General</c:formatCode>
                <c:ptCount val="5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</c:numCache>
            </c:numRef>
          </c:xVal>
          <c:yVal>
            <c:numRef>
              <c:f>'63'!$D$4:$D$54</c:f>
              <c:numCache>
                <c:formatCode>0.000000</c:formatCode>
                <c:ptCount val="51"/>
                <c:pt idx="0">
                  <c:v>0</c:v>
                </c:pt>
                <c:pt idx="1">
                  <c:v>5.1710000000000002E-3</c:v>
                </c:pt>
                <c:pt idx="2">
                  <c:v>1.1403E-2</c:v>
                </c:pt>
                <c:pt idx="3">
                  <c:v>1.8859000000000001E-2</c:v>
                </c:pt>
                <c:pt idx="4">
                  <c:v>2.7725E-2</c:v>
                </c:pt>
                <c:pt idx="5">
                  <c:v>3.8211000000000002E-2</c:v>
                </c:pt>
                <c:pt idx="6">
                  <c:v>5.0557999999999999E-2</c:v>
                </c:pt>
                <c:pt idx="7">
                  <c:v>6.5035999999999997E-2</c:v>
                </c:pt>
                <c:pt idx="8">
                  <c:v>8.1951999999999997E-2</c:v>
                </c:pt>
                <c:pt idx="9">
                  <c:v>0.101655</c:v>
                </c:pt>
                <c:pt idx="10">
                  <c:v>0.124539</c:v>
                </c:pt>
                <c:pt idx="11">
                  <c:v>0.15104899999999999</c:v>
                </c:pt>
                <c:pt idx="12">
                  <c:v>0.18168899999999999</c:v>
                </c:pt>
                <c:pt idx="13">
                  <c:v>0.217025</c:v>
                </c:pt>
                <c:pt idx="14">
                  <c:v>0.25770199999999999</c:v>
                </c:pt>
                <c:pt idx="15">
                  <c:v>0.30444100000000002</c:v>
                </c:pt>
                <c:pt idx="16">
                  <c:v>0.35805900000000002</c:v>
                </c:pt>
                <c:pt idx="17">
                  <c:v>0.41947699999999999</c:v>
                </c:pt>
                <c:pt idx="18">
                  <c:v>0.48973</c:v>
                </c:pt>
                <c:pt idx="19">
                  <c:v>0.56998499999999996</c:v>
                </c:pt>
                <c:pt idx="20">
                  <c:v>0.66155600000000003</c:v>
                </c:pt>
                <c:pt idx="21">
                  <c:v>0.76592000000000005</c:v>
                </c:pt>
                <c:pt idx="22">
                  <c:v>0.88473900000000005</c:v>
                </c:pt>
                <c:pt idx="23">
                  <c:v>1.0198799999999999</c:v>
                </c:pt>
                <c:pt idx="24">
                  <c:v>1.1734439999999999</c:v>
                </c:pt>
                <c:pt idx="25">
                  <c:v>1.347788</c:v>
                </c:pt>
                <c:pt idx="26">
                  <c:v>1.545561</c:v>
                </c:pt>
                <c:pt idx="27">
                  <c:v>1.769738</c:v>
                </c:pt>
                <c:pt idx="28">
                  <c:v>2.0236529999999999</c:v>
                </c:pt>
                <c:pt idx="29">
                  <c:v>2.3110520000000001</c:v>
                </c:pt>
                <c:pt idx="30">
                  <c:v>2.6361349999999999</c:v>
                </c:pt>
                <c:pt idx="31">
                  <c:v>3.003609</c:v>
                </c:pt>
                <c:pt idx="32">
                  <c:v>3.4187530000000002</c:v>
                </c:pt>
                <c:pt idx="33">
                  <c:v>3.8874849999999999</c:v>
                </c:pt>
                <c:pt idx="34">
                  <c:v>4.4164300000000001</c:v>
                </c:pt>
                <c:pt idx="35">
                  <c:v>5.0130150000000002</c:v>
                </c:pt>
                <c:pt idx="36">
                  <c:v>5.6855539999999998</c:v>
                </c:pt>
                <c:pt idx="37">
                  <c:v>6.4433559999999996</c:v>
                </c:pt>
                <c:pt idx="38">
                  <c:v>7.2968409999999997</c:v>
                </c:pt>
                <c:pt idx="39">
                  <c:v>8.2576710000000002</c:v>
                </c:pt>
                <c:pt idx="40">
                  <c:v>9.3388939999999998</c:v>
                </c:pt>
                <c:pt idx="41">
                  <c:v>10.555106</c:v>
                </c:pt>
                <c:pt idx="42">
                  <c:v>11.922632</c:v>
                </c:pt>
                <c:pt idx="43">
                  <c:v>13.459725000000001</c:v>
                </c:pt>
                <c:pt idx="44">
                  <c:v>15.186793</c:v>
                </c:pt>
                <c:pt idx="45">
                  <c:v>17.126647999999999</c:v>
                </c:pt>
                <c:pt idx="46">
                  <c:v>19.304784000000001</c:v>
                </c:pt>
                <c:pt idx="47">
                  <c:v>21.749687000000002</c:v>
                </c:pt>
                <c:pt idx="48">
                  <c:v>24.493183999999999</c:v>
                </c:pt>
                <c:pt idx="49">
                  <c:v>27.570823000000001</c:v>
                </c:pt>
                <c:pt idx="50">
                  <c:v>31.022306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5-2A34-47E1-A742-727285298269}"/>
            </c:ext>
          </c:extLst>
        </c:ser>
        <c:ser>
          <c:idx val="1"/>
          <c:order val="1"/>
          <c:tx>
            <c:v>Погрешность(2h)</c:v>
          </c:tx>
          <c:marker>
            <c:symbol val="none"/>
          </c:marker>
          <c:xVal>
            <c:numRef>
              <c:f>'63'!$F$4:$F$29</c:f>
              <c:numCache>
                <c:formatCode>0.0</c:formatCode>
                <c:ptCount val="26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2.2000000000000002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4.4000000000000004</c:v>
                </c:pt>
                <c:pt idx="23">
                  <c:v>4.5999999999999996</c:v>
                </c:pt>
                <c:pt idx="24">
                  <c:v>4.8</c:v>
                </c:pt>
                <c:pt idx="25">
                  <c:v>5</c:v>
                </c:pt>
              </c:numCache>
            </c:numRef>
          </c:xVal>
          <c:yVal>
            <c:numRef>
              <c:f>'63'!$I$4:$I$29</c:f>
              <c:numCache>
                <c:formatCode>0.000000</c:formatCode>
                <c:ptCount val="26"/>
                <c:pt idx="0">
                  <c:v>0</c:v>
                </c:pt>
                <c:pt idx="1">
                  <c:v>2.1402999999999998E-2</c:v>
                </c:pt>
                <c:pt idx="2">
                  <c:v>5.1825000000000003E-2</c:v>
                </c:pt>
                <c:pt idx="3">
                  <c:v>9.4118999999999994E-2</c:v>
                </c:pt>
                <c:pt idx="4">
                  <c:v>0.15194099999999999</c:v>
                </c:pt>
                <c:pt idx="5">
                  <c:v>0.229962</c:v>
                </c:pt>
                <c:pt idx="6">
                  <c:v>0.33413300000000001</c:v>
                </c:pt>
                <c:pt idx="7">
                  <c:v>0.47201900000000002</c:v>
                </c:pt>
                <c:pt idx="8">
                  <c:v>0.65321499999999999</c:v>
                </c:pt>
                <c:pt idx="9">
                  <c:v>0.88986699999999996</c:v>
                </c:pt>
                <c:pt idx="10">
                  <c:v>1.1973199999999999</c:v>
                </c:pt>
                <c:pt idx="11">
                  <c:v>1.59493</c:v>
                </c:pt>
                <c:pt idx="12">
                  <c:v>2.1070760000000002</c:v>
                </c:pt>
                <c:pt idx="13">
                  <c:v>2.7644169999999999</c:v>
                </c:pt>
                <c:pt idx="14">
                  <c:v>3.6054620000000002</c:v>
                </c:pt>
                <c:pt idx="15">
                  <c:v>4.678515</c:v>
                </c:pt>
                <c:pt idx="16">
                  <c:v>6.0441039999999999</c:v>
                </c:pt>
                <c:pt idx="17">
                  <c:v>7.7779889999999998</c:v>
                </c:pt>
                <c:pt idx="18">
                  <c:v>9.9749009999999991</c:v>
                </c:pt>
                <c:pt idx="19">
                  <c:v>12.753185</c:v>
                </c:pt>
                <c:pt idx="20">
                  <c:v>16.260549999999999</c:v>
                </c:pt>
                <c:pt idx="21">
                  <c:v>20.681211000000001</c:v>
                </c:pt>
                <c:pt idx="22">
                  <c:v>26.244724999999999</c:v>
                </c:pt>
                <c:pt idx="23">
                  <c:v>33.236942999999997</c:v>
                </c:pt>
                <c:pt idx="24">
                  <c:v>42.013570000000001</c:v>
                </c:pt>
                <c:pt idx="25">
                  <c:v>53.016942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2A34-47E1-A742-727285298269}"/>
            </c:ext>
          </c:extLst>
        </c:ser>
        <c:ser>
          <c:idx val="3"/>
          <c:order val="2"/>
          <c:tx>
            <c:v>Погрешность(h)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'[1]Филиппов №63'!$A$5:$A$55</c:f>
              <c:numCache>
                <c:formatCode>General</c:formatCode>
                <c:ptCount val="5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</c:numCache>
            </c:numRef>
          </c:xVal>
          <c:yVal>
            <c:numRef>
              <c:f>'[1]Филиппов №63'!$D$5:$D$55</c:f>
              <c:numCache>
                <c:formatCode>General</c:formatCode>
                <c:ptCount val="51"/>
                <c:pt idx="0">
                  <c:v>0</c:v>
                </c:pt>
                <c:pt idx="1">
                  <c:v>1.7091807564773021E-4</c:v>
                </c:pt>
                <c:pt idx="2">
                  <c:v>3.7275816016979491E-4</c:v>
                </c:pt>
                <c:pt idx="3">
                  <c:v>6.2880757600303205E-4</c:v>
                </c:pt>
                <c:pt idx="4">
                  <c:v>9.2469764127023346E-4</c:v>
                </c:pt>
                <c:pt idx="5">
                  <c:v>1.2712707001281132E-3</c:v>
                </c:pt>
                <c:pt idx="6">
                  <c:v>1.6888003905088933E-3</c:v>
                </c:pt>
                <c:pt idx="7">
                  <c:v>2.1827074704767746E-3</c:v>
                </c:pt>
                <c:pt idx="8">
                  <c:v>2.7509284924678301E-3</c:v>
                </c:pt>
                <c:pt idx="9">
                  <c:v>3.4231111569498207E-3</c:v>
                </c:pt>
                <c:pt idx="10">
                  <c:v>4.2018284590450428E-3</c:v>
                </c:pt>
                <c:pt idx="11">
                  <c:v>5.1060239464331136E-3</c:v>
                </c:pt>
                <c:pt idx="12">
                  <c:v>6.1569227365472212E-3</c:v>
                </c:pt>
                <c:pt idx="13">
                  <c:v>7.3666676192445379E-3</c:v>
                </c:pt>
                <c:pt idx="14">
                  <c:v>8.7699668446745704E-3</c:v>
                </c:pt>
                <c:pt idx="15">
                  <c:v>1.0389070338064688E-2</c:v>
                </c:pt>
                <c:pt idx="16">
                  <c:v>1.2242424395114693E-2</c:v>
                </c:pt>
                <c:pt idx="17">
                  <c:v>1.4377391727200095E-2</c:v>
                </c:pt>
                <c:pt idx="18">
                  <c:v>1.6817464412946403E-2</c:v>
                </c:pt>
                <c:pt idx="19">
                  <c:v>1.9614442279268562E-2</c:v>
                </c:pt>
                <c:pt idx="20">
                  <c:v>2.2826098930650573E-2</c:v>
                </c:pt>
                <c:pt idx="21">
                  <c:v>2.6479912567651809E-2</c:v>
                </c:pt>
                <c:pt idx="22">
                  <c:v>3.0653499434121656E-2</c:v>
                </c:pt>
                <c:pt idx="23">
                  <c:v>3.542245481471884E-2</c:v>
                </c:pt>
                <c:pt idx="24">
                  <c:v>4.0846380641601066E-2</c:v>
                </c:pt>
                <c:pt idx="25">
                  <c:v>4.7013960703473856E-2</c:v>
                </c:pt>
                <c:pt idx="26">
                  <c:v>5.4028035001691066E-2</c:v>
                </c:pt>
                <c:pt idx="27">
                  <c:v>6.2031724872836591E-2</c:v>
                </c:pt>
                <c:pt idx="28">
                  <c:v>7.1046771097048378E-2</c:v>
                </c:pt>
                <c:pt idx="29">
                  <c:v>8.1345369443059923E-2</c:v>
                </c:pt>
                <c:pt idx="30">
                  <c:v>9.2936923187668441E-2</c:v>
                </c:pt>
                <c:pt idx="31">
                  <c:v>0.10615128144163677</c:v>
                </c:pt>
                <c:pt idx="32">
                  <c:v>0.12113019710935546</c:v>
                </c:pt>
                <c:pt idx="33">
                  <c:v>0.13803892065788403</c:v>
                </c:pt>
                <c:pt idx="34">
                  <c:v>0.15720004739700855</c:v>
                </c:pt>
                <c:pt idx="35">
                  <c:v>0.1787519586923132</c:v>
                </c:pt>
                <c:pt idx="36">
                  <c:v>0.20323444367798871</c:v>
                </c:pt>
                <c:pt idx="37">
                  <c:v>0.23080436006740257</c:v>
                </c:pt>
                <c:pt idx="38">
                  <c:v>0.2619844933008153</c:v>
                </c:pt>
                <c:pt idx="39">
                  <c:v>0.29704910553017072</c:v>
                </c:pt>
                <c:pt idx="40">
                  <c:v>0.33675003314423435</c:v>
                </c:pt>
                <c:pt idx="41">
                  <c:v>0.38138759736195027</c:v>
                </c:pt>
                <c:pt idx="42">
                  <c:v>0.43183104092515379</c:v>
                </c:pt>
                <c:pt idx="43">
                  <c:v>0.48849369959579292</c:v>
                </c:pt>
                <c:pt idx="44">
                  <c:v>0.5523686649681423</c:v>
                </c:pt>
                <c:pt idx="45">
                  <c:v>0.62433130052181696</c:v>
                </c:pt>
                <c:pt idx="46">
                  <c:v>0.7053156419337796</c:v>
                </c:pt>
                <c:pt idx="47">
                  <c:v>0.79617245212351406</c:v>
                </c:pt>
                <c:pt idx="48">
                  <c:v>0.89841751873485975</c:v>
                </c:pt>
                <c:pt idx="49">
                  <c:v>1.0137796849355283</c:v>
                </c:pt>
                <c:pt idx="50">
                  <c:v>1.1431591025765897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2A34-47E1-A742-727285298269}"/>
            </c:ext>
          </c:extLst>
        </c:ser>
        <c:ser>
          <c:idx val="4"/>
          <c:order val="3"/>
          <c:tx>
            <c:v>Погрешность(2h)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'[1]Филиппов №63'!$F$5:$F$30</c:f>
              <c:numCache>
                <c:formatCode>General</c:formatCode>
                <c:ptCount val="26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2.2000000000000002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4.4000000000000004</c:v>
                </c:pt>
                <c:pt idx="23">
                  <c:v>4.5999999999999996</c:v>
                </c:pt>
                <c:pt idx="24">
                  <c:v>4.8</c:v>
                </c:pt>
                <c:pt idx="25">
                  <c:v>5</c:v>
                </c:pt>
              </c:numCache>
            </c:numRef>
          </c:xVal>
          <c:yVal>
            <c:numRef>
              <c:f>'[1]Филиппов №63'!$I$5:$I$30</c:f>
              <c:numCache>
                <c:formatCode>General</c:formatCode>
                <c:ptCount val="26"/>
                <c:pt idx="0">
                  <c:v>0</c:v>
                </c:pt>
                <c:pt idx="1">
                  <c:v>1.4027581601696593E-3</c:v>
                </c:pt>
                <c:pt idx="2">
                  <c:v>3.4246976412704022E-3</c:v>
                </c:pt>
                <c:pt idx="3">
                  <c:v>6.2688003905089218E-3</c:v>
                </c:pt>
                <c:pt idx="4">
                  <c:v>1.0210928492467852E-2</c:v>
                </c:pt>
                <c:pt idx="5">
                  <c:v>1.5571828459045145E-2</c:v>
                </c:pt>
                <c:pt idx="6">
                  <c:v>2.281692273654734E-2</c:v>
                </c:pt>
                <c:pt idx="7">
                  <c:v>3.2489966844674534E-2</c:v>
                </c:pt>
                <c:pt idx="8">
                  <c:v>4.5322424395114691E-2</c:v>
                </c:pt>
                <c:pt idx="9">
                  <c:v>6.2247464412946485E-2</c:v>
                </c:pt>
                <c:pt idx="10">
                  <c:v>8.4426098930650006E-2</c:v>
                </c:pt>
                <c:pt idx="11">
                  <c:v>0.11336349943412127</c:v>
                </c:pt>
                <c:pt idx="12">
                  <c:v>0.15096638064160128</c:v>
                </c:pt>
                <c:pt idx="13">
                  <c:v>0.19963803500169064</c:v>
                </c:pt>
                <c:pt idx="14">
                  <c:v>0.26244677109704817</c:v>
                </c:pt>
                <c:pt idx="15">
                  <c:v>0.34323692318766774</c:v>
                </c:pt>
                <c:pt idx="16">
                  <c:v>0.44693019710935289</c:v>
                </c:pt>
                <c:pt idx="17">
                  <c:v>0.57970004739701153</c:v>
                </c:pt>
                <c:pt idx="18">
                  <c:v>0.74923444367798808</c:v>
                </c:pt>
                <c:pt idx="19">
                  <c:v>0.96538449330081022</c:v>
                </c:pt>
                <c:pt idx="20">
                  <c:v>1.2405500331442383</c:v>
                </c:pt>
                <c:pt idx="21">
                  <c:v>1.5900310409251546</c:v>
                </c:pt>
                <c:pt idx="22">
                  <c:v>2.0333686649681368</c:v>
                </c:pt>
                <c:pt idx="23">
                  <c:v>2.5949156419337669</c:v>
                </c:pt>
                <c:pt idx="24">
                  <c:v>3.3054175187348562</c:v>
                </c:pt>
                <c:pt idx="25">
                  <c:v>4.203159102576592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2A34-47E1-A742-7272852982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0567808"/>
        <c:axId val="260569728"/>
      </c:scatterChart>
      <c:valAx>
        <c:axId val="260567808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600" b="1"/>
                  <a:t>х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0569728"/>
        <c:crosses val="autoZero"/>
        <c:crossBetween val="midCat"/>
      </c:valAx>
      <c:valAx>
        <c:axId val="26056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600" b="1"/>
                  <a:t>у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0567808"/>
        <c:crosses val="autoZero"/>
        <c:crossBetween val="midCat"/>
      </c:valAx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531542528518464"/>
          <c:y val="0.3650216108352764"/>
          <c:w val="0.17906774410745818"/>
          <c:h val="0.2101836361055434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 xmlns:c16r2="http://schemas.microsoft.com/office/drawing/2015/06/chart"/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 sz="1100">
          <a:solidFill>
            <a:schemeClr val="dk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sng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ru-RU" sz="1800" b="0" i="0" u="sng" strike="noStrike" baseline="0">
                <a:effectLst/>
              </a:rPr>
              <a:t>График решения </a:t>
            </a:r>
            <a:r>
              <a:rPr lang="ru-RU" sz="1800" u="sng"/>
              <a:t>№141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у (h=0.25)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'141'!$A$5:$A$37</c:f>
              <c:numCache>
                <c:formatCode>General</c:formatCode>
                <c:ptCount val="33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</c:numCache>
            </c:numRef>
          </c:xVal>
          <c:yVal>
            <c:numRef>
              <c:f>'141'!$B$5:$B$37</c:f>
              <c:numCache>
                <c:formatCode>General</c:formatCode>
                <c:ptCount val="33"/>
                <c:pt idx="0">
                  <c:v>0.01</c:v>
                </c:pt>
                <c:pt idx="1">
                  <c:v>0.03</c:v>
                </c:pt>
                <c:pt idx="2">
                  <c:v>6.4500000000000002E-2</c:v>
                </c:pt>
                <c:pt idx="3">
                  <c:v>0.1147</c:v>
                </c:pt>
                <c:pt idx="4">
                  <c:v>0.1802</c:v>
                </c:pt>
                <c:pt idx="5">
                  <c:v>0.2601</c:v>
                </c:pt>
                <c:pt idx="6">
                  <c:v>0.35299999999999998</c:v>
                </c:pt>
                <c:pt idx="7">
                  <c:v>0.45700000000000002</c:v>
                </c:pt>
                <c:pt idx="8">
                  <c:v>0.56979999999999997</c:v>
                </c:pt>
                <c:pt idx="9">
                  <c:v>0.68910000000000005</c:v>
                </c:pt>
                <c:pt idx="10">
                  <c:v>0.81200000000000006</c:v>
                </c:pt>
                <c:pt idx="11">
                  <c:v>0.93579999999999997</c:v>
                </c:pt>
                <c:pt idx="12" formatCode="0.00">
                  <c:v>1.0571999999999999</c:v>
                </c:pt>
                <c:pt idx="13" formatCode="0.00">
                  <c:v>1.1733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  <c:pt idx="22" formatCode="0.00">
                  <c:v>0</c:v>
                </c:pt>
                <c:pt idx="23" formatCode="0.00">
                  <c:v>0</c:v>
                </c:pt>
                <c:pt idx="24" formatCode="0.00">
                  <c:v>0</c:v>
                </c:pt>
                <c:pt idx="25" formatCode="0.00">
                  <c:v>1.1377999999999999</c:v>
                </c:pt>
                <c:pt idx="26" formatCode="0.00">
                  <c:v>0.95879999999999999</c:v>
                </c:pt>
                <c:pt idx="27" formatCode="0.00">
                  <c:v>0.75019999999999998</c:v>
                </c:pt>
                <c:pt idx="28" formatCode="0.00">
                  <c:v>0.51319999999999999</c:v>
                </c:pt>
                <c:pt idx="29" formatCode="0.00">
                  <c:v>0.24929999999999999</c:v>
                </c:pt>
                <c:pt idx="30" formatCode="0.00">
                  <c:v>-3.9399999999999998E-2</c:v>
                </c:pt>
                <c:pt idx="31" formatCode="0.00">
                  <c:v>-0.35039999999999999</c:v>
                </c:pt>
                <c:pt idx="32" formatCode="0.00">
                  <c:v>-0.68079999999999996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E50-4258-9824-9810415F2A72}"/>
            </c:ext>
          </c:extLst>
        </c:ser>
        <c:ser>
          <c:idx val="1"/>
          <c:order val="1"/>
          <c:tx>
            <c:v>y (h=0.5)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'141'!$F$5:$F$30</c:f>
              <c:numCache>
                <c:formatCode>0.00</c:formatCode>
                <c:ptCount val="26"/>
                <c:pt idx="0">
                  <c:v>0.1</c:v>
                </c:pt>
                <c:pt idx="1">
                  <c:v>0.3</c:v>
                </c:pt>
                <c:pt idx="2">
                  <c:v>0.5</c:v>
                </c:pt>
                <c:pt idx="3">
                  <c:v>0.7</c:v>
                </c:pt>
                <c:pt idx="4">
                  <c:v>0.9</c:v>
                </c:pt>
                <c:pt idx="5">
                  <c:v>1.1000000000000001</c:v>
                </c:pt>
                <c:pt idx="6">
                  <c:v>1.3</c:v>
                </c:pt>
                <c:pt idx="7">
                  <c:v>1.5</c:v>
                </c:pt>
                <c:pt idx="8">
                  <c:v>1.7</c:v>
                </c:pt>
                <c:pt idx="9">
                  <c:v>1.9</c:v>
                </c:pt>
                <c:pt idx="10">
                  <c:v>2.1</c:v>
                </c:pt>
                <c:pt idx="11">
                  <c:v>2.2999999999999998</c:v>
                </c:pt>
                <c:pt idx="12">
                  <c:v>2.5</c:v>
                </c:pt>
                <c:pt idx="13">
                  <c:v>2.7</c:v>
                </c:pt>
                <c:pt idx="14">
                  <c:v>2.9</c:v>
                </c:pt>
                <c:pt idx="15">
                  <c:v>3.1</c:v>
                </c:pt>
                <c:pt idx="16">
                  <c:v>3.3</c:v>
                </c:pt>
                <c:pt idx="17">
                  <c:v>3.5</c:v>
                </c:pt>
                <c:pt idx="18">
                  <c:v>3.7</c:v>
                </c:pt>
                <c:pt idx="19">
                  <c:v>3.9</c:v>
                </c:pt>
                <c:pt idx="20">
                  <c:v>4.0999999999999996</c:v>
                </c:pt>
                <c:pt idx="21">
                  <c:v>4.3</c:v>
                </c:pt>
                <c:pt idx="22">
                  <c:v>4.5</c:v>
                </c:pt>
                <c:pt idx="23">
                  <c:v>4.7</c:v>
                </c:pt>
                <c:pt idx="24">
                  <c:v>4.9000000000000004</c:v>
                </c:pt>
                <c:pt idx="25">
                  <c:v>5.0999999999999996</c:v>
                </c:pt>
              </c:numCache>
            </c:numRef>
          </c:xVal>
          <c:yVal>
            <c:numRef>
              <c:f>'141'!$G$5:$G$30</c:f>
              <c:numCache>
                <c:formatCode>0.00</c:formatCode>
                <c:ptCount val="26"/>
                <c:pt idx="0">
                  <c:v>0.01</c:v>
                </c:pt>
                <c:pt idx="1">
                  <c:v>4.99E-2</c:v>
                </c:pt>
                <c:pt idx="2">
                  <c:v>0.14050000000000001</c:v>
                </c:pt>
                <c:pt idx="3">
                  <c:v>0.28439999999999999</c:v>
                </c:pt>
                <c:pt idx="4">
                  <c:v>0.4728</c:v>
                </c:pt>
                <c:pt idx="5">
                  <c:v>0.68969999999999998</c:v>
                </c:pt>
                <c:pt idx="6">
                  <c:v>0.91490000000000005</c:v>
                </c:pt>
                <c:pt idx="7">
                  <c:v>1.1252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1.1657999999999999</c:v>
                </c:pt>
                <c:pt idx="13">
                  <c:v>0.85850000000000004</c:v>
                </c:pt>
                <c:pt idx="14">
                  <c:v>0.43380000000000002</c:v>
                </c:pt>
                <c:pt idx="15">
                  <c:v>-9.9400000000000002E-2</c:v>
                </c:pt>
                <c:pt idx="16">
                  <c:v>-0.72529999999999994</c:v>
                </c:pt>
                <c:pt idx="17">
                  <c:v>-1.421</c:v>
                </c:pt>
                <c:pt idx="18">
                  <c:v>-2.1577000000000002</c:v>
                </c:pt>
                <c:pt idx="19">
                  <c:v>-2.9018999999999999</c:v>
                </c:pt>
                <c:pt idx="20">
                  <c:v>-3.6168999999999998</c:v>
                </c:pt>
                <c:pt idx="21">
                  <c:v>-4.2647000000000004</c:v>
                </c:pt>
                <c:pt idx="22">
                  <c:v>-4.8078000000000003</c:v>
                </c:pt>
                <c:pt idx="23">
                  <c:v>-5.2111999999999998</c:v>
                </c:pt>
                <c:pt idx="24">
                  <c:v>-5.4446000000000003</c:v>
                </c:pt>
                <c:pt idx="25">
                  <c:v>-5.484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3E50-4258-9824-9810415F2A72}"/>
            </c:ext>
          </c:extLst>
        </c:ser>
        <c:ser>
          <c:idx val="2"/>
          <c:order val="2"/>
          <c:tx>
            <c:v>у (точн)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'141'!$A$5:$A$37</c:f>
              <c:numCache>
                <c:formatCode>General</c:formatCode>
                <c:ptCount val="33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</c:numCache>
            </c:numRef>
          </c:xVal>
          <c:yVal>
            <c:numRef>
              <c:f>'141'!$C$5:$C$37</c:f>
              <c:numCache>
                <c:formatCode>General</c:formatCode>
                <c:ptCount val="33"/>
                <c:pt idx="0">
                  <c:v>0.01</c:v>
                </c:pt>
                <c:pt idx="1">
                  <c:v>3.9800000000000002E-2</c:v>
                </c:pt>
                <c:pt idx="2">
                  <c:v>8.8700000000000001E-2</c:v>
                </c:pt>
                <c:pt idx="3">
                  <c:v>0.15579999999999999</c:v>
                </c:pt>
                <c:pt idx="4">
                  <c:v>0.23980000000000001</c:v>
                </c:pt>
                <c:pt idx="5">
                  <c:v>0.33889999999999998</c:v>
                </c:pt>
                <c:pt idx="6">
                  <c:v>0.4511</c:v>
                </c:pt>
                <c:pt idx="7">
                  <c:v>0.57399999999999995</c:v>
                </c:pt>
                <c:pt idx="8">
                  <c:v>0.70509999999999995</c:v>
                </c:pt>
                <c:pt idx="9">
                  <c:v>0.84160000000000001</c:v>
                </c:pt>
                <c:pt idx="10">
                  <c:v>0.98050000000000004</c:v>
                </c:pt>
                <c:pt idx="11">
                  <c:v>1.1186</c:v>
                </c:pt>
                <c:pt idx="12" formatCode="0.00">
                  <c:v>0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  <c:pt idx="22" formatCode="0.00">
                  <c:v>0</c:v>
                </c:pt>
                <c:pt idx="23" formatCode="0.00">
                  <c:v>0</c:v>
                </c:pt>
                <c:pt idx="24" formatCode="0.00">
                  <c:v>0</c:v>
                </c:pt>
                <c:pt idx="25" formatCode="0.00">
                  <c:v>0</c:v>
                </c:pt>
                <c:pt idx="26" formatCode="0.00">
                  <c:v>1.1544000000000001</c:v>
                </c:pt>
                <c:pt idx="27" formatCode="0.00">
                  <c:v>0.93840000000000001</c:v>
                </c:pt>
                <c:pt idx="28" formatCode="0.00">
                  <c:v>0.69430000000000003</c:v>
                </c:pt>
                <c:pt idx="29" formatCode="0.00">
                  <c:v>0.4239</c:v>
                </c:pt>
                <c:pt idx="30" formatCode="0.00">
                  <c:v>0.12939999999999999</c:v>
                </c:pt>
                <c:pt idx="31" formatCode="0.00">
                  <c:v>-0.18629999999999999</c:v>
                </c:pt>
                <c:pt idx="32" formatCode="0.00">
                  <c:v>-0.52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3E50-4258-9824-9810415F2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0885504"/>
        <c:axId val="260887680"/>
      </c:scatterChart>
      <c:valAx>
        <c:axId val="260885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0887680"/>
        <c:crosses val="autoZero"/>
        <c:crossBetween val="midCat"/>
      </c:valAx>
      <c:valAx>
        <c:axId val="26088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0885504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sng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ru-RU" sz="1800" b="0" i="0" u="sng" strike="noStrike" baseline="0">
                <a:effectLst/>
              </a:rPr>
              <a:t>График ошибки решения </a:t>
            </a:r>
            <a:r>
              <a:rPr lang="ru-RU" sz="1800" u="sng"/>
              <a:t>№141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Погрешность(h)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'141'!$A$5:$A$37</c:f>
              <c:numCache>
                <c:formatCode>General</c:formatCode>
                <c:ptCount val="33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</c:numCache>
            </c:numRef>
          </c:xVal>
          <c:yVal>
            <c:numRef>
              <c:f>'141'!$D$5:$D$37</c:f>
              <c:numCache>
                <c:formatCode>General</c:formatCode>
                <c:ptCount val="33"/>
                <c:pt idx="0">
                  <c:v>0</c:v>
                </c:pt>
                <c:pt idx="1">
                  <c:v>9.7999999999999997E-3</c:v>
                </c:pt>
                <c:pt idx="2">
                  <c:v>2.4199999999999999E-2</c:v>
                </c:pt>
                <c:pt idx="3">
                  <c:v>4.1099999999999998E-2</c:v>
                </c:pt>
                <c:pt idx="4">
                  <c:v>5.96E-2</c:v>
                </c:pt>
                <c:pt idx="5">
                  <c:v>7.8799999999999995E-2</c:v>
                </c:pt>
                <c:pt idx="6">
                  <c:v>9.8100000000000007E-2</c:v>
                </c:pt>
                <c:pt idx="7">
                  <c:v>0.11700000000000001</c:v>
                </c:pt>
                <c:pt idx="8">
                  <c:v>0.1353</c:v>
                </c:pt>
                <c:pt idx="9">
                  <c:v>0.1525</c:v>
                </c:pt>
                <c:pt idx="10">
                  <c:v>0.16850000000000001</c:v>
                </c:pt>
                <c:pt idx="11">
                  <c:v>0.18290000000000001</c:v>
                </c:pt>
                <c:pt idx="12" formatCode="0.00">
                  <c:v>0.1956</c:v>
                </c:pt>
                <c:pt idx="13" formatCode="0.00">
                  <c:v>0.20649999999999999</c:v>
                </c:pt>
                <c:pt idx="14" formatCode="0.00">
                  <c:v>0.21560000000000001</c:v>
                </c:pt>
                <c:pt idx="15" formatCode="0.00">
                  <c:v>0.22270000000000001</c:v>
                </c:pt>
                <c:pt idx="16" formatCode="0.00">
                  <c:v>0.2278</c:v>
                </c:pt>
                <c:pt idx="17" formatCode="0.00">
                  <c:v>0.23100000000000001</c:v>
                </c:pt>
                <c:pt idx="18" formatCode="0.00">
                  <c:v>0.2324</c:v>
                </c:pt>
                <c:pt idx="19" formatCode="0.00">
                  <c:v>0.2321</c:v>
                </c:pt>
                <c:pt idx="20" formatCode="0.00">
                  <c:v>0.2301</c:v>
                </c:pt>
                <c:pt idx="21" formatCode="0.00">
                  <c:v>0.22670000000000001</c:v>
                </c:pt>
                <c:pt idx="22" formatCode="0.00">
                  <c:v>0.22209999999999999</c:v>
                </c:pt>
                <c:pt idx="23" formatCode="0.00">
                  <c:v>0.21640000000000001</c:v>
                </c:pt>
                <c:pt idx="24" formatCode="0.00">
                  <c:v>0.2099</c:v>
                </c:pt>
                <c:pt idx="25" formatCode="0.00">
                  <c:v>0.2029</c:v>
                </c:pt>
                <c:pt idx="26" formatCode="0.00">
                  <c:v>0.1956</c:v>
                </c:pt>
                <c:pt idx="27" formatCode="0.00">
                  <c:v>0.18820000000000001</c:v>
                </c:pt>
                <c:pt idx="28" formatCode="0.00">
                  <c:v>0.18110000000000001</c:v>
                </c:pt>
                <c:pt idx="29" formatCode="0.00">
                  <c:v>0.17449999999999999</c:v>
                </c:pt>
                <c:pt idx="30" formatCode="0.00">
                  <c:v>0.16880000000000001</c:v>
                </c:pt>
                <c:pt idx="31" formatCode="0.00">
                  <c:v>0.1641</c:v>
                </c:pt>
                <c:pt idx="32" formatCode="0.00">
                  <c:v>0.1608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FF0-46EE-BC84-664C465E31A1}"/>
            </c:ext>
          </c:extLst>
        </c:ser>
        <c:ser>
          <c:idx val="1"/>
          <c:order val="1"/>
          <c:tx>
            <c:v>Погрешность(2h)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'141'!$F$5:$F$21</c:f>
              <c:numCache>
                <c:formatCode>0.00</c:formatCode>
                <c:ptCount val="17"/>
                <c:pt idx="0">
                  <c:v>0.1</c:v>
                </c:pt>
                <c:pt idx="1">
                  <c:v>0.3</c:v>
                </c:pt>
                <c:pt idx="2">
                  <c:v>0.5</c:v>
                </c:pt>
                <c:pt idx="3">
                  <c:v>0.7</c:v>
                </c:pt>
                <c:pt idx="4">
                  <c:v>0.9</c:v>
                </c:pt>
                <c:pt idx="5">
                  <c:v>1.1000000000000001</c:v>
                </c:pt>
                <c:pt idx="6">
                  <c:v>1.3</c:v>
                </c:pt>
                <c:pt idx="7">
                  <c:v>1.5</c:v>
                </c:pt>
                <c:pt idx="8">
                  <c:v>1.7</c:v>
                </c:pt>
                <c:pt idx="9">
                  <c:v>1.9</c:v>
                </c:pt>
                <c:pt idx="10">
                  <c:v>2.1</c:v>
                </c:pt>
                <c:pt idx="11">
                  <c:v>2.2999999999999998</c:v>
                </c:pt>
                <c:pt idx="12">
                  <c:v>2.5</c:v>
                </c:pt>
                <c:pt idx="13">
                  <c:v>2.7</c:v>
                </c:pt>
                <c:pt idx="14">
                  <c:v>2.9</c:v>
                </c:pt>
                <c:pt idx="15">
                  <c:v>3.1</c:v>
                </c:pt>
                <c:pt idx="16">
                  <c:v>3.3</c:v>
                </c:pt>
              </c:numCache>
            </c:numRef>
          </c:xVal>
          <c:yVal>
            <c:numRef>
              <c:f>'141'!$I$5:$I$21</c:f>
              <c:numCache>
                <c:formatCode>0.00</c:formatCode>
                <c:ptCount val="17"/>
                <c:pt idx="0">
                  <c:v>0</c:v>
                </c:pt>
                <c:pt idx="1">
                  <c:v>3.8800000000000001E-2</c:v>
                </c:pt>
                <c:pt idx="2">
                  <c:v>9.9299999999999999E-2</c:v>
                </c:pt>
                <c:pt idx="3">
                  <c:v>0.1666</c:v>
                </c:pt>
                <c:pt idx="4">
                  <c:v>0.2324</c:v>
                </c:pt>
                <c:pt idx="5">
                  <c:v>0.2908</c:v>
                </c:pt>
                <c:pt idx="6">
                  <c:v>0.33789999999999998</c:v>
                </c:pt>
                <c:pt idx="7">
                  <c:v>0.37119999999999997</c:v>
                </c:pt>
                <c:pt idx="8">
                  <c:v>0.3896</c:v>
                </c:pt>
                <c:pt idx="9">
                  <c:v>0.3931</c:v>
                </c:pt>
                <c:pt idx="10">
                  <c:v>0.38279999999999997</c:v>
                </c:pt>
                <c:pt idx="11">
                  <c:v>0.36099999999999999</c:v>
                </c:pt>
                <c:pt idx="12">
                  <c:v>0.33079999999999998</c:v>
                </c:pt>
                <c:pt idx="13">
                  <c:v>0.2959</c:v>
                </c:pt>
                <c:pt idx="14">
                  <c:v>0.26050000000000001</c:v>
                </c:pt>
                <c:pt idx="15">
                  <c:v>0.2288</c:v>
                </c:pt>
                <c:pt idx="16">
                  <c:v>0.20519999999999999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9FF0-46EE-BC84-664C465E3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0926464"/>
        <c:axId val="260932736"/>
      </c:scatterChart>
      <c:valAx>
        <c:axId val="260926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0932736"/>
        <c:crosses val="autoZero"/>
        <c:crossBetween val="midCat"/>
      </c:valAx>
      <c:valAx>
        <c:axId val="26093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60926464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381619</xdr:colOff>
      <xdr:row>1</xdr:row>
      <xdr:rowOff>94193</xdr:rowOff>
    </xdr:from>
    <xdr:to>
      <xdr:col>33</xdr:col>
      <xdr:colOff>249382</xdr:colOff>
      <xdr:row>37</xdr:row>
      <xdr:rowOff>41565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xmlns="" id="{CB2D70D3-1499-449C-B9C0-D178BD7074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387928</xdr:colOff>
      <xdr:row>38</xdr:row>
      <xdr:rowOff>69272</xdr:rowOff>
    </xdr:from>
    <xdr:to>
      <xdr:col>35</xdr:col>
      <xdr:colOff>110836</xdr:colOff>
      <xdr:row>73</xdr:row>
      <xdr:rowOff>143529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xmlns="" id="{81B30C52-5CA0-485A-BD2E-A573249B09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601266</xdr:colOff>
      <xdr:row>1</xdr:row>
      <xdr:rowOff>17460</xdr:rowOff>
    </xdr:from>
    <xdr:to>
      <xdr:col>28</xdr:col>
      <xdr:colOff>11076</xdr:colOff>
      <xdr:row>37</xdr:row>
      <xdr:rowOff>188283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xmlns="" id="{014656C6-8B8F-5B12-B6A9-0E09DD687B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45</xdr:row>
      <xdr:rowOff>0</xdr:rowOff>
    </xdr:from>
    <xdr:to>
      <xdr:col>28</xdr:col>
      <xdr:colOff>14776</xdr:colOff>
      <xdr:row>82</xdr:row>
      <xdr:rowOff>157951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xmlns="" id="{6D1F444A-8A3D-44A8-9865-B53D55A848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2983/Downloads/Telegram%20Desktop/&#1079;_&#1050;&#1086;&#1096;&#1080;%20&#1076;&#1083;&#1103;%20&#1054;&#1044;&#1059;%20-%20&#1054;&#1073;&#1088;&#1072;&#1079;&#1077;&#1094;%201%20(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илиппов №63"/>
      <sheetName val="Филиппов №141"/>
      <sheetName val="Филиппов №167"/>
    </sheetNames>
    <sheetDataSet>
      <sheetData sheetId="0">
        <row r="5">
          <cell r="A5">
            <v>0</v>
          </cell>
          <cell r="D5">
            <v>0</v>
          </cell>
          <cell r="F5">
            <v>0</v>
          </cell>
          <cell r="I5">
            <v>0</v>
          </cell>
        </row>
        <row r="6">
          <cell r="A6">
            <v>0.1</v>
          </cell>
          <cell r="D6">
            <v>1.7091807564773021E-4</v>
          </cell>
          <cell r="F6">
            <v>0.2</v>
          </cell>
          <cell r="I6">
            <v>1.4027581601696593E-3</v>
          </cell>
        </row>
        <row r="7">
          <cell r="A7">
            <v>0.2</v>
          </cell>
          <cell r="D7">
            <v>3.7275816016979491E-4</v>
          </cell>
          <cell r="F7">
            <v>0.4</v>
          </cell>
          <cell r="I7">
            <v>3.4246976412704022E-3</v>
          </cell>
        </row>
        <row r="8">
          <cell r="A8">
            <v>0.3</v>
          </cell>
          <cell r="D8">
            <v>6.2880757600303205E-4</v>
          </cell>
          <cell r="F8">
            <v>0.6</v>
          </cell>
          <cell r="I8">
            <v>6.2688003905089218E-3</v>
          </cell>
        </row>
        <row r="9">
          <cell r="A9">
            <v>0.4</v>
          </cell>
          <cell r="D9">
            <v>9.2469764127023346E-4</v>
          </cell>
          <cell r="F9">
            <v>0.8</v>
          </cell>
          <cell r="I9">
            <v>1.0210928492467852E-2</v>
          </cell>
        </row>
        <row r="10">
          <cell r="A10">
            <v>0.5</v>
          </cell>
          <cell r="D10">
            <v>1.2712707001281132E-3</v>
          </cell>
          <cell r="F10">
            <v>1</v>
          </cell>
          <cell r="I10">
            <v>1.5571828459045145E-2</v>
          </cell>
        </row>
        <row r="11">
          <cell r="A11">
            <v>0.6</v>
          </cell>
          <cell r="D11">
            <v>1.6888003905088933E-3</v>
          </cell>
          <cell r="F11">
            <v>1.2</v>
          </cell>
          <cell r="I11">
            <v>2.281692273654734E-2</v>
          </cell>
        </row>
        <row r="12">
          <cell r="A12">
            <v>0.7</v>
          </cell>
          <cell r="D12">
            <v>2.1827074704767746E-3</v>
          </cell>
          <cell r="F12">
            <v>1.4</v>
          </cell>
          <cell r="I12">
            <v>3.2489966844674534E-2</v>
          </cell>
        </row>
        <row r="13">
          <cell r="A13">
            <v>0.8</v>
          </cell>
          <cell r="D13">
            <v>2.7509284924678301E-3</v>
          </cell>
          <cell r="F13">
            <v>1.6</v>
          </cell>
          <cell r="I13">
            <v>4.5322424395114691E-2</v>
          </cell>
        </row>
        <row r="14">
          <cell r="A14">
            <v>0.9</v>
          </cell>
          <cell r="D14">
            <v>3.4231111569498207E-3</v>
          </cell>
          <cell r="F14">
            <v>1.8</v>
          </cell>
          <cell r="I14">
            <v>6.2247464412946485E-2</v>
          </cell>
        </row>
        <row r="15">
          <cell r="A15">
            <v>1</v>
          </cell>
          <cell r="D15">
            <v>4.2018284590450428E-3</v>
          </cell>
          <cell r="F15">
            <v>2</v>
          </cell>
          <cell r="I15">
            <v>8.4426098930650006E-2</v>
          </cell>
        </row>
        <row r="16">
          <cell r="A16">
            <v>1.1000000000000001</v>
          </cell>
          <cell r="D16">
            <v>5.1060239464331136E-3</v>
          </cell>
          <cell r="F16">
            <v>2.2000000000000002</v>
          </cell>
          <cell r="I16">
            <v>0.11336349943412127</v>
          </cell>
        </row>
        <row r="17">
          <cell r="A17">
            <v>1.2</v>
          </cell>
          <cell r="D17">
            <v>6.1569227365472212E-3</v>
          </cell>
          <cell r="F17">
            <v>2.4</v>
          </cell>
          <cell r="I17">
            <v>0.15096638064160128</v>
          </cell>
        </row>
        <row r="18">
          <cell r="A18">
            <v>1.3</v>
          </cell>
          <cell r="D18">
            <v>7.3666676192445379E-3</v>
          </cell>
          <cell r="F18">
            <v>2.6</v>
          </cell>
          <cell r="I18">
            <v>0.19963803500169064</v>
          </cell>
        </row>
        <row r="19">
          <cell r="A19">
            <v>1.4</v>
          </cell>
          <cell r="D19">
            <v>8.7699668446745704E-3</v>
          </cell>
          <cell r="F19">
            <v>2.8</v>
          </cell>
          <cell r="I19">
            <v>0.26244677109704817</v>
          </cell>
        </row>
        <row r="20">
          <cell r="A20">
            <v>1.5</v>
          </cell>
          <cell r="D20">
            <v>1.0389070338064688E-2</v>
          </cell>
          <cell r="F20">
            <v>3</v>
          </cell>
          <cell r="I20">
            <v>0.34323692318766774</v>
          </cell>
        </row>
        <row r="21">
          <cell r="A21">
            <v>1.6</v>
          </cell>
          <cell r="D21">
            <v>1.2242424395114693E-2</v>
          </cell>
          <cell r="F21">
            <v>3.2</v>
          </cell>
          <cell r="I21">
            <v>0.44693019710935289</v>
          </cell>
        </row>
        <row r="22">
          <cell r="A22">
            <v>1.7</v>
          </cell>
          <cell r="D22">
            <v>1.4377391727200095E-2</v>
          </cell>
          <cell r="F22">
            <v>3.4</v>
          </cell>
          <cell r="I22">
            <v>0.57970004739701153</v>
          </cell>
        </row>
        <row r="23">
          <cell r="A23">
            <v>1.8</v>
          </cell>
          <cell r="D23">
            <v>1.6817464412946403E-2</v>
          </cell>
          <cell r="F23">
            <v>3.6</v>
          </cell>
          <cell r="I23">
            <v>0.74923444367798808</v>
          </cell>
        </row>
        <row r="24">
          <cell r="A24">
            <v>1.9</v>
          </cell>
          <cell r="D24">
            <v>1.9614442279268562E-2</v>
          </cell>
          <cell r="F24">
            <v>3.8</v>
          </cell>
          <cell r="I24">
            <v>0.96538449330081022</v>
          </cell>
        </row>
        <row r="25">
          <cell r="A25">
            <v>2</v>
          </cell>
          <cell r="D25">
            <v>2.2826098930650573E-2</v>
          </cell>
          <cell r="F25">
            <v>4</v>
          </cell>
          <cell r="I25">
            <v>1.2405500331442383</v>
          </cell>
        </row>
        <row r="26">
          <cell r="A26">
            <v>2.1</v>
          </cell>
          <cell r="D26">
            <v>2.6479912567651809E-2</v>
          </cell>
          <cell r="F26">
            <v>4.2</v>
          </cell>
          <cell r="I26">
            <v>1.5900310409251546</v>
          </cell>
        </row>
        <row r="27">
          <cell r="A27">
            <v>2.2000000000000002</v>
          </cell>
          <cell r="D27">
            <v>3.0653499434121656E-2</v>
          </cell>
          <cell r="F27">
            <v>4.4000000000000004</v>
          </cell>
          <cell r="I27">
            <v>2.0333686649681368</v>
          </cell>
        </row>
        <row r="28">
          <cell r="A28">
            <v>2.2999999999999998</v>
          </cell>
          <cell r="D28">
            <v>3.542245481471884E-2</v>
          </cell>
          <cell r="F28">
            <v>4.5999999999999996</v>
          </cell>
          <cell r="I28">
            <v>2.5949156419337669</v>
          </cell>
        </row>
        <row r="29">
          <cell r="A29">
            <v>2.4</v>
          </cell>
          <cell r="D29">
            <v>4.0846380641601066E-2</v>
          </cell>
          <cell r="F29">
            <v>4.8</v>
          </cell>
          <cell r="I29">
            <v>3.3054175187348562</v>
          </cell>
        </row>
        <row r="30">
          <cell r="A30">
            <v>2.5</v>
          </cell>
          <cell r="D30">
            <v>4.7013960703473856E-2</v>
          </cell>
          <cell r="F30">
            <v>5</v>
          </cell>
          <cell r="I30">
            <v>4.203159102576592</v>
          </cell>
        </row>
        <row r="31">
          <cell r="A31">
            <v>2.6</v>
          </cell>
          <cell r="D31">
            <v>5.4028035001691066E-2</v>
          </cell>
        </row>
        <row r="32">
          <cell r="A32">
            <v>2.7</v>
          </cell>
          <cell r="D32">
            <v>6.2031724872836591E-2</v>
          </cell>
        </row>
        <row r="33">
          <cell r="A33">
            <v>2.8</v>
          </cell>
          <cell r="D33">
            <v>7.1046771097048378E-2</v>
          </cell>
        </row>
        <row r="34">
          <cell r="A34">
            <v>2.9</v>
          </cell>
          <cell r="D34">
            <v>8.1345369443059923E-2</v>
          </cell>
        </row>
        <row r="35">
          <cell r="A35">
            <v>3</v>
          </cell>
          <cell r="D35">
            <v>9.2936923187668441E-2</v>
          </cell>
        </row>
        <row r="36">
          <cell r="A36">
            <v>3.1</v>
          </cell>
          <cell r="D36">
            <v>0.10615128144163677</v>
          </cell>
        </row>
        <row r="37">
          <cell r="A37">
            <v>3.2</v>
          </cell>
          <cell r="D37">
            <v>0.12113019710935546</v>
          </cell>
        </row>
        <row r="38">
          <cell r="A38">
            <v>3.3</v>
          </cell>
          <cell r="D38">
            <v>0.13803892065788403</v>
          </cell>
        </row>
        <row r="39">
          <cell r="A39">
            <v>3.4</v>
          </cell>
          <cell r="D39">
            <v>0.15720004739700855</v>
          </cell>
        </row>
        <row r="40">
          <cell r="A40">
            <v>3.5</v>
          </cell>
          <cell r="D40">
            <v>0.1787519586923132</v>
          </cell>
        </row>
        <row r="41">
          <cell r="A41">
            <v>3.6</v>
          </cell>
          <cell r="D41">
            <v>0.20323444367798871</v>
          </cell>
        </row>
        <row r="42">
          <cell r="A42">
            <v>3.7</v>
          </cell>
          <cell r="D42">
            <v>0.23080436006740257</v>
          </cell>
        </row>
        <row r="43">
          <cell r="A43">
            <v>3.8</v>
          </cell>
          <cell r="D43">
            <v>0.2619844933008153</v>
          </cell>
        </row>
        <row r="44">
          <cell r="A44">
            <v>3.9</v>
          </cell>
          <cell r="D44">
            <v>0.29704910553017072</v>
          </cell>
        </row>
        <row r="45">
          <cell r="A45">
            <v>4</v>
          </cell>
          <cell r="D45">
            <v>0.33675003314423435</v>
          </cell>
        </row>
        <row r="46">
          <cell r="A46">
            <v>4.0999999999999996</v>
          </cell>
          <cell r="D46">
            <v>0.38138759736195027</v>
          </cell>
        </row>
        <row r="47">
          <cell r="A47">
            <v>4.2</v>
          </cell>
          <cell r="D47">
            <v>0.43183104092515379</v>
          </cell>
        </row>
        <row r="48">
          <cell r="A48">
            <v>4.3</v>
          </cell>
          <cell r="D48">
            <v>0.48849369959579292</v>
          </cell>
        </row>
        <row r="49">
          <cell r="A49">
            <v>4.4000000000000004</v>
          </cell>
          <cell r="D49">
            <v>0.5523686649681423</v>
          </cell>
        </row>
        <row r="50">
          <cell r="A50">
            <v>4.5</v>
          </cell>
          <cell r="D50">
            <v>0.62433130052181696</v>
          </cell>
        </row>
        <row r="51">
          <cell r="A51">
            <v>4.5999999999999996</v>
          </cell>
          <cell r="D51">
            <v>0.7053156419337796</v>
          </cell>
        </row>
        <row r="52">
          <cell r="A52">
            <v>4.7</v>
          </cell>
          <cell r="D52">
            <v>0.79617245212351406</v>
          </cell>
        </row>
        <row r="53">
          <cell r="A53">
            <v>4.8</v>
          </cell>
          <cell r="D53">
            <v>0.89841751873485975</v>
          </cell>
        </row>
        <row r="54">
          <cell r="A54">
            <v>4.9000000000000004</v>
          </cell>
          <cell r="D54">
            <v>1.0137796849355283</v>
          </cell>
        </row>
        <row r="55">
          <cell r="A55">
            <v>5</v>
          </cell>
          <cell r="D55">
            <v>1.1431591025765897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5"/>
  <sheetViews>
    <sheetView topLeftCell="A13" zoomScale="50" zoomScaleNormal="50" workbookViewId="0">
      <selection activeCell="F64" sqref="F64"/>
    </sheetView>
  </sheetViews>
  <sheetFormatPr defaultRowHeight="14.4" x14ac:dyDescent="0.3"/>
  <cols>
    <col min="1" max="1" width="8.5546875" style="2" customWidth="1"/>
    <col min="2" max="4" width="14.33203125" style="2" customWidth="1"/>
    <col min="5" max="5" width="7.6640625" style="2" customWidth="1"/>
    <col min="6" max="6" width="9.21875" style="2" customWidth="1"/>
    <col min="7" max="8" width="14.33203125" style="2" customWidth="1"/>
    <col min="9" max="9" width="15.6640625" style="2" customWidth="1"/>
  </cols>
  <sheetData>
    <row r="1" spans="1:19" x14ac:dyDescent="0.3">
      <c r="A1" s="41" t="s">
        <v>15</v>
      </c>
      <c r="B1" s="42"/>
      <c r="C1" s="45" t="s">
        <v>16</v>
      </c>
      <c r="D1" s="46"/>
      <c r="E1" s="3"/>
      <c r="F1" s="41" t="s">
        <v>17</v>
      </c>
      <c r="G1" s="42"/>
      <c r="H1" s="49" t="s">
        <v>18</v>
      </c>
      <c r="I1" s="46"/>
    </row>
    <row r="2" spans="1:19" ht="15" customHeight="1" x14ac:dyDescent="0.3">
      <c r="A2" s="43"/>
      <c r="B2" s="44"/>
      <c r="C2" s="47"/>
      <c r="D2" s="48"/>
      <c r="E2" s="3"/>
      <c r="F2" s="43"/>
      <c r="G2" s="44"/>
      <c r="H2" s="50"/>
      <c r="I2" s="48"/>
    </row>
    <row r="3" spans="1:19" ht="15.6" x14ac:dyDescent="0.3">
      <c r="A3" s="17" t="s">
        <v>0</v>
      </c>
      <c r="B3" s="18" t="s">
        <v>1</v>
      </c>
      <c r="C3" s="19" t="s">
        <v>19</v>
      </c>
      <c r="D3" s="20" t="s">
        <v>2</v>
      </c>
      <c r="F3" s="13" t="s">
        <v>0</v>
      </c>
      <c r="G3" s="14" t="s">
        <v>1</v>
      </c>
      <c r="H3" s="15" t="s">
        <v>19</v>
      </c>
      <c r="I3" s="16" t="s">
        <v>2</v>
      </c>
    </row>
    <row r="4" spans="1:19" s="2" customFormat="1" x14ac:dyDescent="0.3">
      <c r="A4" s="10">
        <v>0</v>
      </c>
      <c r="B4" s="110">
        <v>2</v>
      </c>
      <c r="C4" s="110">
        <v>2</v>
      </c>
      <c r="D4" s="111">
        <v>0</v>
      </c>
      <c r="F4" s="101">
        <v>0</v>
      </c>
      <c r="G4" s="104">
        <v>2</v>
      </c>
      <c r="H4" s="104">
        <v>2</v>
      </c>
      <c r="I4" s="105">
        <v>0</v>
      </c>
      <c r="N4" s="8"/>
      <c r="O4" s="8"/>
      <c r="P4" s="8"/>
      <c r="Q4" s="8"/>
      <c r="R4" s="8"/>
      <c r="S4" s="8"/>
    </row>
    <row r="5" spans="1:19" x14ac:dyDescent="0.3">
      <c r="A5" s="12">
        <v>0.1</v>
      </c>
      <c r="B5" s="108">
        <v>1.9</v>
      </c>
      <c r="C5" s="108">
        <v>1.9051709999999999</v>
      </c>
      <c r="D5" s="109">
        <v>5.1710000000000002E-3</v>
      </c>
      <c r="F5" s="102">
        <v>0.2</v>
      </c>
      <c r="G5" s="106">
        <v>1.8</v>
      </c>
      <c r="H5" s="106">
        <v>1.8214030000000001</v>
      </c>
      <c r="I5" s="107">
        <v>2.1402999999999998E-2</v>
      </c>
    </row>
    <row r="6" spans="1:19" x14ac:dyDescent="0.3">
      <c r="A6" s="11">
        <v>0.2</v>
      </c>
      <c r="B6" s="106">
        <v>1.81</v>
      </c>
      <c r="C6" s="106">
        <v>1.8214030000000001</v>
      </c>
      <c r="D6" s="107">
        <v>1.1403E-2</v>
      </c>
      <c r="F6" s="103">
        <v>0.4</v>
      </c>
      <c r="G6" s="108">
        <v>1.64</v>
      </c>
      <c r="H6" s="108">
        <v>1.6918249999999999</v>
      </c>
      <c r="I6" s="109">
        <v>5.1825000000000003E-2</v>
      </c>
    </row>
    <row r="7" spans="1:19" x14ac:dyDescent="0.3">
      <c r="A7" s="12">
        <v>0.3</v>
      </c>
      <c r="B7" s="108">
        <v>1.7310000000000001</v>
      </c>
      <c r="C7" s="108">
        <v>1.7498590000000001</v>
      </c>
      <c r="D7" s="109">
        <v>1.8859000000000001E-2</v>
      </c>
      <c r="F7" s="102">
        <v>0.6</v>
      </c>
      <c r="G7" s="106">
        <v>1.528</v>
      </c>
      <c r="H7" s="106">
        <v>1.6221190000000001</v>
      </c>
      <c r="I7" s="107">
        <v>9.4118999999999994E-2</v>
      </c>
    </row>
    <row r="8" spans="1:19" x14ac:dyDescent="0.3">
      <c r="A8" s="11">
        <v>0.4</v>
      </c>
      <c r="B8" s="106">
        <v>1.6640999999999999</v>
      </c>
      <c r="C8" s="106">
        <v>1.6918249999999999</v>
      </c>
      <c r="D8" s="107">
        <v>2.7725E-2</v>
      </c>
      <c r="F8" s="103">
        <v>0.8</v>
      </c>
      <c r="G8" s="108">
        <v>1.4736</v>
      </c>
      <c r="H8" s="108">
        <v>1.6255409999999999</v>
      </c>
      <c r="I8" s="109">
        <v>0.15194099999999999</v>
      </c>
    </row>
    <row r="9" spans="1:19" x14ac:dyDescent="0.3">
      <c r="A9" s="12">
        <v>0.5</v>
      </c>
      <c r="B9" s="108">
        <v>1.6105100000000001</v>
      </c>
      <c r="C9" s="108">
        <v>1.6487210000000001</v>
      </c>
      <c r="D9" s="109">
        <v>3.8211000000000002E-2</v>
      </c>
      <c r="F9" s="102">
        <v>1</v>
      </c>
      <c r="G9" s="106">
        <v>1.4883200000000001</v>
      </c>
      <c r="H9" s="106">
        <v>1.7182820000000001</v>
      </c>
      <c r="I9" s="107">
        <v>0.229962</v>
      </c>
    </row>
    <row r="10" spans="1:19" x14ac:dyDescent="0.3">
      <c r="A10" s="11">
        <v>0.6</v>
      </c>
      <c r="B10" s="106">
        <v>1.571561</v>
      </c>
      <c r="C10" s="106">
        <v>1.6221190000000001</v>
      </c>
      <c r="D10" s="107">
        <v>5.0557999999999999E-2</v>
      </c>
      <c r="F10" s="103">
        <v>1.2</v>
      </c>
      <c r="G10" s="108">
        <v>1.5859840000000001</v>
      </c>
      <c r="H10" s="108">
        <v>1.9201170000000001</v>
      </c>
      <c r="I10" s="109">
        <v>0.33413300000000001</v>
      </c>
    </row>
    <row r="11" spans="1:19" x14ac:dyDescent="0.3">
      <c r="A11" s="12">
        <v>0.7</v>
      </c>
      <c r="B11" s="108">
        <v>1.5487169999999999</v>
      </c>
      <c r="C11" s="108">
        <v>1.613753</v>
      </c>
      <c r="D11" s="109">
        <v>6.5035999999999997E-2</v>
      </c>
      <c r="F11" s="102">
        <v>1.4</v>
      </c>
      <c r="G11" s="106">
        <v>1.7831809999999999</v>
      </c>
      <c r="H11" s="106">
        <v>2.2551999999999999</v>
      </c>
      <c r="I11" s="107">
        <v>0.47201900000000002</v>
      </c>
    </row>
    <row r="12" spans="1:19" x14ac:dyDescent="0.3">
      <c r="A12" s="11">
        <v>0.8</v>
      </c>
      <c r="B12" s="106">
        <v>1.5435890000000001</v>
      </c>
      <c r="C12" s="106">
        <v>1.6255409999999999</v>
      </c>
      <c r="D12" s="107">
        <v>8.1951999999999997E-2</v>
      </c>
      <c r="F12" s="103">
        <v>1.6</v>
      </c>
      <c r="G12" s="108">
        <v>2.0998169999999998</v>
      </c>
      <c r="H12" s="108">
        <v>2.7530320000000001</v>
      </c>
      <c r="I12" s="109">
        <v>0.65321499999999999</v>
      </c>
    </row>
    <row r="13" spans="1:19" x14ac:dyDescent="0.3">
      <c r="A13" s="12">
        <v>0.9</v>
      </c>
      <c r="B13" s="108">
        <v>1.5579480000000001</v>
      </c>
      <c r="C13" s="108">
        <v>1.6596029999999999</v>
      </c>
      <c r="D13" s="109">
        <v>0.101655</v>
      </c>
      <c r="F13" s="102">
        <v>1.8</v>
      </c>
      <c r="G13" s="106">
        <v>2.5597799999999999</v>
      </c>
      <c r="H13" s="106">
        <v>3.4496470000000001</v>
      </c>
      <c r="I13" s="107">
        <v>0.88986699999999996</v>
      </c>
    </row>
    <row r="14" spans="1:19" x14ac:dyDescent="0.3">
      <c r="A14" s="11">
        <v>1</v>
      </c>
      <c r="B14" s="106">
        <v>1.593742</v>
      </c>
      <c r="C14" s="106">
        <v>1.7182820000000001</v>
      </c>
      <c r="D14" s="107">
        <v>0.124539</v>
      </c>
      <c r="F14" s="103">
        <v>2</v>
      </c>
      <c r="G14" s="108">
        <v>3.1917360000000001</v>
      </c>
      <c r="H14" s="108">
        <v>4.3890560000000001</v>
      </c>
      <c r="I14" s="109">
        <v>1.1973199999999999</v>
      </c>
    </row>
    <row r="15" spans="1:19" x14ac:dyDescent="0.3">
      <c r="A15" s="12">
        <v>1.1000000000000001</v>
      </c>
      <c r="B15" s="108">
        <v>1.6531169999999999</v>
      </c>
      <c r="C15" s="108">
        <v>1.8041659999999999</v>
      </c>
      <c r="D15" s="109">
        <v>0.15104899999999999</v>
      </c>
      <c r="F15" s="102">
        <v>2.2000000000000002</v>
      </c>
      <c r="G15" s="106">
        <v>4.0300840000000004</v>
      </c>
      <c r="H15" s="106">
        <v>5.625013</v>
      </c>
      <c r="I15" s="107">
        <v>1.59493</v>
      </c>
    </row>
    <row r="16" spans="1:19" x14ac:dyDescent="0.3">
      <c r="A16" s="11">
        <v>1.2</v>
      </c>
      <c r="B16" s="106">
        <v>1.7384280000000001</v>
      </c>
      <c r="C16" s="106">
        <v>1.9201170000000001</v>
      </c>
      <c r="D16" s="107">
        <v>0.18168899999999999</v>
      </c>
      <c r="F16" s="103">
        <v>2.4</v>
      </c>
      <c r="G16" s="108">
        <v>5.1161000000000003</v>
      </c>
      <c r="H16" s="108">
        <v>7.2231759999999996</v>
      </c>
      <c r="I16" s="109">
        <v>2.1070760000000002</v>
      </c>
    </row>
    <row r="17" spans="1:10" x14ac:dyDescent="0.3">
      <c r="A17" s="12">
        <v>1.3</v>
      </c>
      <c r="B17" s="108">
        <v>1.852271</v>
      </c>
      <c r="C17" s="108">
        <v>2.0692970000000002</v>
      </c>
      <c r="D17" s="109">
        <v>0.217025</v>
      </c>
      <c r="F17" s="102">
        <v>2.6</v>
      </c>
      <c r="G17" s="106">
        <v>6.4993210000000001</v>
      </c>
      <c r="H17" s="106">
        <v>9.263738</v>
      </c>
      <c r="I17" s="107">
        <v>2.7644169999999999</v>
      </c>
    </row>
    <row r="18" spans="1:10" x14ac:dyDescent="0.3">
      <c r="A18" s="11">
        <v>1.4</v>
      </c>
      <c r="B18" s="106">
        <v>1.997498</v>
      </c>
      <c r="C18" s="106">
        <v>2.2551999999999999</v>
      </c>
      <c r="D18" s="107">
        <v>0.25770199999999999</v>
      </c>
      <c r="F18" s="103">
        <v>2.8</v>
      </c>
      <c r="G18" s="108">
        <v>8.2391850000000009</v>
      </c>
      <c r="H18" s="108">
        <v>11.844647</v>
      </c>
      <c r="I18" s="109">
        <v>3.6054620000000002</v>
      </c>
    </row>
    <row r="19" spans="1:10" x14ac:dyDescent="0.3">
      <c r="A19" s="12">
        <v>1.5</v>
      </c>
      <c r="B19" s="108">
        <v>2.1772480000000001</v>
      </c>
      <c r="C19" s="108">
        <v>2.4816889999999998</v>
      </c>
      <c r="D19" s="109">
        <v>0.30444100000000002</v>
      </c>
      <c r="F19" s="102">
        <v>3</v>
      </c>
      <c r="G19" s="106">
        <v>10.407022</v>
      </c>
      <c r="H19" s="106">
        <v>15.085537</v>
      </c>
      <c r="I19" s="107">
        <v>4.678515</v>
      </c>
    </row>
    <row r="20" spans="1:10" x14ac:dyDescent="0.3">
      <c r="A20" s="11">
        <v>1.6</v>
      </c>
      <c r="B20" s="106">
        <v>2.3949729999999998</v>
      </c>
      <c r="C20" s="106">
        <v>2.7530320000000001</v>
      </c>
      <c r="D20" s="107">
        <v>0.35805900000000002</v>
      </c>
      <c r="F20" s="103">
        <v>3.2</v>
      </c>
      <c r="G20" s="108">
        <v>13.088426</v>
      </c>
      <c r="H20" s="108">
        <v>19.132529999999999</v>
      </c>
      <c r="I20" s="109">
        <v>6.0441039999999999</v>
      </c>
    </row>
    <row r="21" spans="1:10" x14ac:dyDescent="0.3">
      <c r="A21" s="12">
        <v>1.7</v>
      </c>
      <c r="B21" s="108">
        <v>2.6544699999999999</v>
      </c>
      <c r="C21" s="108">
        <v>3.073947</v>
      </c>
      <c r="D21" s="109">
        <v>0.41947699999999999</v>
      </c>
      <c r="F21" s="102">
        <v>3.4</v>
      </c>
      <c r="G21" s="106">
        <v>16.386111</v>
      </c>
      <c r="H21" s="106">
        <v>24.164100000000001</v>
      </c>
      <c r="I21" s="107">
        <v>7.7779889999999998</v>
      </c>
    </row>
    <row r="22" spans="1:10" x14ac:dyDescent="0.3">
      <c r="A22" s="11">
        <v>1.8</v>
      </c>
      <c r="B22" s="106">
        <v>2.9599169999999999</v>
      </c>
      <c r="C22" s="106">
        <v>3.4496470000000001</v>
      </c>
      <c r="D22" s="107">
        <v>0.48973</v>
      </c>
      <c r="F22" s="103">
        <v>3.6</v>
      </c>
      <c r="G22" s="108">
        <v>20.423333</v>
      </c>
      <c r="H22" s="108">
        <v>30.398233999999999</v>
      </c>
      <c r="I22" s="109">
        <v>9.9749009999999991</v>
      </c>
    </row>
    <row r="23" spans="1:10" x14ac:dyDescent="0.3">
      <c r="A23" s="12">
        <v>1.9</v>
      </c>
      <c r="B23" s="108">
        <v>3.315909</v>
      </c>
      <c r="C23" s="108">
        <v>3.885894</v>
      </c>
      <c r="D23" s="109">
        <v>0.56998499999999996</v>
      </c>
      <c r="F23" s="102">
        <v>3.8</v>
      </c>
      <c r="G23" s="106">
        <v>25.347999999999999</v>
      </c>
      <c r="H23" s="106">
        <v>38.101184000000003</v>
      </c>
      <c r="I23" s="107">
        <v>12.753185</v>
      </c>
    </row>
    <row r="24" spans="1:10" x14ac:dyDescent="0.3">
      <c r="A24" s="11">
        <v>2</v>
      </c>
      <c r="B24" s="106">
        <v>3.7275</v>
      </c>
      <c r="C24" s="106">
        <v>4.3890560000000001</v>
      </c>
      <c r="D24" s="107">
        <v>0.66155600000000003</v>
      </c>
      <c r="F24" s="103">
        <v>4</v>
      </c>
      <c r="G24" s="108">
        <v>31.337599999999998</v>
      </c>
      <c r="H24" s="108">
        <v>47.598149999999997</v>
      </c>
      <c r="I24" s="109">
        <v>16.260549999999999</v>
      </c>
    </row>
    <row r="25" spans="1:10" x14ac:dyDescent="0.3">
      <c r="A25" s="12">
        <v>2.1</v>
      </c>
      <c r="B25" s="108">
        <v>4.2002499999999996</v>
      </c>
      <c r="C25" s="108">
        <v>4.96617</v>
      </c>
      <c r="D25" s="109">
        <v>0.76592000000000005</v>
      </c>
      <c r="F25" s="102">
        <v>4.2</v>
      </c>
      <c r="G25" s="106">
        <v>38.605119999999999</v>
      </c>
      <c r="H25" s="106">
        <v>59.286330999999997</v>
      </c>
      <c r="I25" s="107">
        <v>20.681211000000001</v>
      </c>
    </row>
    <row r="26" spans="1:10" x14ac:dyDescent="0.3">
      <c r="A26" s="11">
        <v>2.2000000000000002</v>
      </c>
      <c r="B26" s="106">
        <v>4.7402749999999996</v>
      </c>
      <c r="C26" s="106">
        <v>5.625013</v>
      </c>
      <c r="D26" s="107">
        <v>0.88473900000000005</v>
      </c>
      <c r="F26" s="103">
        <v>4.4000000000000004</v>
      </c>
      <c r="G26" s="108">
        <v>47.406143999999998</v>
      </c>
      <c r="H26" s="108">
        <v>73.650869</v>
      </c>
      <c r="I26" s="109">
        <v>26.244724999999999</v>
      </c>
    </row>
    <row r="27" spans="1:10" x14ac:dyDescent="0.3">
      <c r="A27" s="12">
        <v>2.2999999999999998</v>
      </c>
      <c r="B27" s="108">
        <v>5.3543019999999997</v>
      </c>
      <c r="C27" s="108">
        <v>6.3741820000000002</v>
      </c>
      <c r="D27" s="109">
        <v>1.0198799999999999</v>
      </c>
      <c r="F27" s="102">
        <v>4.5999999999999996</v>
      </c>
      <c r="G27" s="106">
        <v>58.047373</v>
      </c>
      <c r="H27" s="106">
        <v>91.284316000000004</v>
      </c>
      <c r="I27" s="107">
        <v>33.236942999999997</v>
      </c>
    </row>
    <row r="28" spans="1:10" x14ac:dyDescent="0.3">
      <c r="A28" s="11">
        <v>2.4</v>
      </c>
      <c r="B28" s="106">
        <v>6.0497329999999998</v>
      </c>
      <c r="C28" s="106">
        <v>7.2231759999999996</v>
      </c>
      <c r="D28" s="107">
        <v>1.1734439999999999</v>
      </c>
      <c r="F28" s="103">
        <v>4.8</v>
      </c>
      <c r="G28" s="108">
        <v>70.896846999999994</v>
      </c>
      <c r="H28" s="108">
        <v>112.91041800000001</v>
      </c>
      <c r="I28" s="109">
        <v>42.013570000000001</v>
      </c>
    </row>
    <row r="29" spans="1:10" x14ac:dyDescent="0.3">
      <c r="A29" s="12">
        <v>2.5</v>
      </c>
      <c r="B29" s="108">
        <v>6.8347059999999997</v>
      </c>
      <c r="C29" s="108">
        <v>8.1824940000000002</v>
      </c>
      <c r="D29" s="109">
        <v>1.347788</v>
      </c>
      <c r="F29" s="102">
        <v>5</v>
      </c>
      <c r="G29" s="106">
        <v>86.396216999999993</v>
      </c>
      <c r="H29" s="106">
        <v>139.41315900000001</v>
      </c>
      <c r="I29" s="107">
        <v>53.016942</v>
      </c>
    </row>
    <row r="30" spans="1:10" x14ac:dyDescent="0.3">
      <c r="A30" s="11">
        <v>2.6</v>
      </c>
      <c r="B30" s="106">
        <v>7.7181769999999998</v>
      </c>
      <c r="C30" s="106">
        <v>9.263738</v>
      </c>
      <c r="D30" s="107">
        <v>1.545561</v>
      </c>
    </row>
    <row r="31" spans="1:10" x14ac:dyDescent="0.3">
      <c r="A31" s="12">
        <v>2.7</v>
      </c>
      <c r="B31" s="108">
        <v>8.709994</v>
      </c>
      <c r="C31" s="108">
        <v>10.479732</v>
      </c>
      <c r="D31" s="109">
        <v>1.769738</v>
      </c>
      <c r="F31" s="9"/>
      <c r="G31" s="9"/>
      <c r="H31" s="9"/>
      <c r="I31" s="9"/>
    </row>
    <row r="32" spans="1:10" x14ac:dyDescent="0.3">
      <c r="A32" s="11">
        <v>2.8</v>
      </c>
      <c r="B32" s="106">
        <v>9.8209940000000007</v>
      </c>
      <c r="C32" s="106">
        <v>11.844647</v>
      </c>
      <c r="D32" s="107">
        <v>2.0236529999999999</v>
      </c>
      <c r="F32" s="9"/>
      <c r="G32" s="9"/>
      <c r="H32" s="9"/>
      <c r="I32" s="9"/>
      <c r="J32" s="9"/>
    </row>
    <row r="33" spans="1:16" ht="15.75" customHeight="1" x14ac:dyDescent="0.3">
      <c r="A33" s="12">
        <v>2.9</v>
      </c>
      <c r="B33" s="108">
        <v>11.063093</v>
      </c>
      <c r="C33" s="108">
        <v>13.374145</v>
      </c>
      <c r="D33" s="109">
        <v>2.3110520000000001</v>
      </c>
      <c r="F33" s="9"/>
      <c r="G33" s="9"/>
      <c r="H33" s="53" t="s">
        <v>23</v>
      </c>
      <c r="I33" s="52"/>
      <c r="J33" s="9"/>
    </row>
    <row r="34" spans="1:16" ht="15.75" customHeight="1" x14ac:dyDescent="0.3">
      <c r="A34" s="11">
        <v>3</v>
      </c>
      <c r="B34" s="106">
        <v>12.449401999999999</v>
      </c>
      <c r="C34" s="106">
        <v>15.085537</v>
      </c>
      <c r="D34" s="107">
        <v>2.6361349999999999</v>
      </c>
      <c r="F34" s="9"/>
      <c r="G34" s="9"/>
      <c r="H34" s="51" t="s">
        <v>21</v>
      </c>
      <c r="I34" s="52"/>
      <c r="J34" s="9"/>
      <c r="N34" s="2"/>
    </row>
    <row r="35" spans="1:16" x14ac:dyDescent="0.3">
      <c r="A35" s="12">
        <v>3.1</v>
      </c>
      <c r="B35" s="108">
        <v>13.994342</v>
      </c>
      <c r="C35" s="108">
        <v>16.997951</v>
      </c>
      <c r="D35" s="109">
        <v>3.003609</v>
      </c>
      <c r="F35" s="9"/>
      <c r="G35" s="9"/>
      <c r="H35" s="52"/>
      <c r="I35" s="52"/>
      <c r="J35" s="9"/>
      <c r="N35" s="2"/>
    </row>
    <row r="36" spans="1:16" x14ac:dyDescent="0.3">
      <c r="A36" s="11">
        <v>3.2</v>
      </c>
      <c r="B36" s="106">
        <v>15.713777</v>
      </c>
      <c r="C36" s="106">
        <v>19.132529999999999</v>
      </c>
      <c r="D36" s="107">
        <v>3.4187530000000002</v>
      </c>
      <c r="F36" s="9"/>
      <c r="G36" s="9"/>
      <c r="H36" s="52"/>
      <c r="I36" s="52"/>
      <c r="J36" s="9"/>
    </row>
    <row r="37" spans="1:16" ht="15.75" customHeight="1" x14ac:dyDescent="0.3">
      <c r="A37" s="12">
        <v>3.3</v>
      </c>
      <c r="B37" s="108">
        <v>17.625153999999998</v>
      </c>
      <c r="C37" s="108">
        <v>21.512639</v>
      </c>
      <c r="D37" s="109">
        <v>3.8874849999999999</v>
      </c>
      <c r="F37" s="9"/>
      <c r="G37" s="9"/>
      <c r="H37" s="9"/>
      <c r="I37" s="21"/>
      <c r="J37" s="9"/>
    </row>
    <row r="38" spans="1:16" ht="15.75" customHeight="1" x14ac:dyDescent="0.3">
      <c r="A38" s="11">
        <v>3.4</v>
      </c>
      <c r="B38" s="106">
        <v>19.747669999999999</v>
      </c>
      <c r="C38" s="106">
        <v>24.164100000000001</v>
      </c>
      <c r="D38" s="107">
        <v>4.4164300000000001</v>
      </c>
      <c r="F38" s="9"/>
      <c r="G38" s="9"/>
      <c r="H38" s="53" t="s">
        <v>22</v>
      </c>
      <c r="I38" s="52"/>
      <c r="J38" s="9"/>
    </row>
    <row r="39" spans="1:16" ht="15.75" customHeight="1" x14ac:dyDescent="0.3">
      <c r="A39" s="12">
        <v>3.5</v>
      </c>
      <c r="B39" s="108">
        <v>22.102436999999998</v>
      </c>
      <c r="C39" s="108">
        <v>27.115452000000001</v>
      </c>
      <c r="D39" s="109">
        <v>5.0130150000000002</v>
      </c>
      <c r="F39" s="9"/>
      <c r="G39" s="9"/>
      <c r="H39" s="51" t="s">
        <v>24</v>
      </c>
      <c r="I39" s="52"/>
      <c r="J39" s="9"/>
    </row>
    <row r="40" spans="1:16" x14ac:dyDescent="0.3">
      <c r="A40" s="11">
        <v>3.6</v>
      </c>
      <c r="B40" s="106">
        <v>24.712681</v>
      </c>
      <c r="C40" s="106">
        <v>30.398233999999999</v>
      </c>
      <c r="D40" s="107">
        <v>5.6855539999999998</v>
      </c>
      <c r="F40" s="9"/>
      <c r="G40" s="9"/>
      <c r="H40" s="52"/>
      <c r="I40" s="52"/>
      <c r="J40" s="9"/>
      <c r="O40" s="2"/>
    </row>
    <row r="41" spans="1:16" x14ac:dyDescent="0.3">
      <c r="A41" s="12">
        <v>3.7</v>
      </c>
      <c r="B41" s="108">
        <v>27.603949</v>
      </c>
      <c r="C41" s="108">
        <v>34.047303999999997</v>
      </c>
      <c r="D41" s="109">
        <v>6.4433559999999996</v>
      </c>
      <c r="F41" s="9"/>
      <c r="G41" s="9"/>
      <c r="H41" s="52"/>
      <c r="I41" s="52"/>
      <c r="J41" s="9"/>
      <c r="O41" s="2"/>
      <c r="P41" s="1"/>
    </row>
    <row r="42" spans="1:16" x14ac:dyDescent="0.3">
      <c r="A42" s="11">
        <v>3.8</v>
      </c>
      <c r="B42" s="106">
        <v>30.804342999999999</v>
      </c>
      <c r="C42" s="106">
        <v>38.101184000000003</v>
      </c>
      <c r="D42" s="107">
        <v>7.2968409999999997</v>
      </c>
      <c r="F42" s="9"/>
      <c r="G42" s="9"/>
      <c r="H42" s="9"/>
      <c r="I42" s="9"/>
      <c r="J42" s="9"/>
    </row>
    <row r="43" spans="1:16" x14ac:dyDescent="0.3">
      <c r="A43" s="12">
        <v>3.9</v>
      </c>
      <c r="B43" s="108">
        <v>34.344777999999998</v>
      </c>
      <c r="C43" s="108">
        <v>42.602449</v>
      </c>
      <c r="D43" s="109">
        <v>8.2576710000000002</v>
      </c>
      <c r="J43" s="9"/>
    </row>
    <row r="44" spans="1:16" x14ac:dyDescent="0.3">
      <c r="A44" s="11">
        <v>4</v>
      </c>
      <c r="B44" s="106">
        <v>38.259256000000001</v>
      </c>
      <c r="C44" s="106">
        <v>47.598149999999997</v>
      </c>
      <c r="D44" s="107">
        <v>9.3388939999999998</v>
      </c>
    </row>
    <row r="45" spans="1:16" x14ac:dyDescent="0.3">
      <c r="A45" s="12">
        <v>4.0999999999999996</v>
      </c>
      <c r="B45" s="108">
        <v>42.585180999999999</v>
      </c>
      <c r="C45" s="108">
        <v>53.140287999999998</v>
      </c>
      <c r="D45" s="109">
        <v>10.555106</v>
      </c>
    </row>
    <row r="46" spans="1:16" x14ac:dyDescent="0.3">
      <c r="A46" s="11">
        <v>4.2</v>
      </c>
      <c r="B46" s="106">
        <v>47.363698999999997</v>
      </c>
      <c r="C46" s="106">
        <v>59.286330999999997</v>
      </c>
      <c r="D46" s="107">
        <v>11.922632</v>
      </c>
    </row>
    <row r="47" spans="1:16" x14ac:dyDescent="0.3">
      <c r="A47" s="12">
        <v>4.3</v>
      </c>
      <c r="B47" s="108">
        <v>52.640068999999997</v>
      </c>
      <c r="C47" s="108">
        <v>66.099794000000003</v>
      </c>
      <c r="D47" s="109">
        <v>13.459725000000001</v>
      </c>
    </row>
    <row r="48" spans="1:16" x14ac:dyDescent="0.3">
      <c r="A48" s="11">
        <v>4.4000000000000004</v>
      </c>
      <c r="B48" s="106">
        <v>58.464075999999999</v>
      </c>
      <c r="C48" s="106">
        <v>73.650869</v>
      </c>
      <c r="D48" s="107">
        <v>15.186793</v>
      </c>
    </row>
    <row r="49" spans="1:14" x14ac:dyDescent="0.3">
      <c r="A49" s="12">
        <v>4.5</v>
      </c>
      <c r="B49" s="108">
        <v>64.890484000000001</v>
      </c>
      <c r="C49" s="108">
        <v>82.017131000000006</v>
      </c>
      <c r="D49" s="109">
        <v>17.126647999999999</v>
      </c>
    </row>
    <row r="50" spans="1:14" x14ac:dyDescent="0.3">
      <c r="A50" s="11">
        <v>4.5999999999999996</v>
      </c>
      <c r="B50" s="106">
        <v>71.979532000000006</v>
      </c>
      <c r="C50" s="106">
        <v>91.284316000000004</v>
      </c>
      <c r="D50" s="107">
        <v>19.304784000000001</v>
      </c>
    </row>
    <row r="51" spans="1:14" x14ac:dyDescent="0.3">
      <c r="A51" s="12">
        <v>4.7</v>
      </c>
      <c r="B51" s="108">
        <v>79.797484999999995</v>
      </c>
      <c r="C51" s="108">
        <v>101.547172</v>
      </c>
      <c r="D51" s="109">
        <v>21.749687000000002</v>
      </c>
    </row>
    <row r="52" spans="1:14" x14ac:dyDescent="0.3">
      <c r="A52" s="11">
        <v>4.8</v>
      </c>
      <c r="B52" s="106">
        <v>88.417233999999993</v>
      </c>
      <c r="C52" s="106">
        <v>112.91041800000001</v>
      </c>
      <c r="D52" s="107">
        <v>24.493183999999999</v>
      </c>
    </row>
    <row r="53" spans="1:14" x14ac:dyDescent="0.3">
      <c r="A53" s="12">
        <v>4.9000000000000004</v>
      </c>
      <c r="B53" s="108">
        <v>97.918957000000006</v>
      </c>
      <c r="C53" s="108">
        <v>125.48978</v>
      </c>
      <c r="D53" s="109">
        <v>27.570823000000001</v>
      </c>
    </row>
    <row r="54" spans="1:14" x14ac:dyDescent="0.3">
      <c r="A54" s="11">
        <v>5</v>
      </c>
      <c r="B54" s="106">
        <v>108.39085300000001</v>
      </c>
      <c r="C54" s="106">
        <v>139.41315900000001</v>
      </c>
      <c r="D54" s="107">
        <v>31.022306</v>
      </c>
    </row>
    <row r="58" spans="1:14" ht="15" thickBot="1" x14ac:dyDescent="0.35">
      <c r="C58"/>
      <c r="D58"/>
      <c r="E58"/>
      <c r="F58"/>
      <c r="G58"/>
      <c r="H58"/>
      <c r="I58"/>
    </row>
    <row r="59" spans="1:14" x14ac:dyDescent="0.3">
      <c r="C59" s="34" t="s">
        <v>6</v>
      </c>
      <c r="D59" s="35"/>
      <c r="E59" s="35"/>
      <c r="F59" s="36" t="s">
        <v>7</v>
      </c>
      <c r="G59" s="36"/>
      <c r="H59" s="36"/>
      <c r="I59" s="35" t="s">
        <v>8</v>
      </c>
      <c r="J59" s="35"/>
      <c r="K59" s="37"/>
      <c r="L59" s="30" t="s">
        <v>20</v>
      </c>
      <c r="M59" s="30"/>
      <c r="N59" s="31"/>
    </row>
    <row r="60" spans="1:14" ht="15" thickBot="1" x14ac:dyDescent="0.35">
      <c r="C60" s="112">
        <f>MAX(D4:D54)</f>
        <v>31.022306</v>
      </c>
      <c r="D60" s="39"/>
      <c r="E60" s="39"/>
      <c r="F60" s="113">
        <f>MAX(I4:I29)</f>
        <v>53.016942</v>
      </c>
      <c r="G60" s="39"/>
      <c r="H60" s="39"/>
      <c r="I60" s="39">
        <f>F60/C60</f>
        <v>1.7089942314410798</v>
      </c>
      <c r="J60" s="39"/>
      <c r="K60" s="40"/>
      <c r="L60" s="32">
        <f>LOG(I60, 2)</f>
        <v>0.7731475273327223</v>
      </c>
      <c r="M60" s="32"/>
      <c r="N60" s="33"/>
    </row>
    <row r="61" spans="1:14" ht="15" thickBot="1" x14ac:dyDescent="0.35">
      <c r="G61"/>
      <c r="H61"/>
      <c r="I61"/>
    </row>
    <row r="62" spans="1:14" x14ac:dyDescent="0.3">
      <c r="C62" s="34" t="s">
        <v>9</v>
      </c>
      <c r="D62" s="35"/>
      <c r="E62" s="35"/>
      <c r="F62" s="36" t="s">
        <v>10</v>
      </c>
      <c r="G62" s="36"/>
      <c r="H62" s="36"/>
      <c r="I62" s="35" t="s">
        <v>8</v>
      </c>
      <c r="J62" s="35"/>
      <c r="K62" s="37"/>
      <c r="L62" s="30" t="s">
        <v>20</v>
      </c>
      <c r="M62" s="30"/>
      <c r="N62" s="31"/>
    </row>
    <row r="63" spans="1:14" ht="15" thickBot="1" x14ac:dyDescent="0.35">
      <c r="C63" s="112">
        <f>AVERAGE(D4:D54)</f>
        <v>5.2699417254901961</v>
      </c>
      <c r="D63" s="39"/>
      <c r="E63" s="39"/>
      <c r="F63" s="113">
        <f>AVERAGE(I4:I29)</f>
        <v>9.4942432307692322</v>
      </c>
      <c r="G63" s="39"/>
      <c r="H63" s="39"/>
      <c r="I63" s="39">
        <f>F63/C63</f>
        <v>1.8015841019354162</v>
      </c>
      <c r="J63" s="39"/>
      <c r="K63" s="40"/>
      <c r="L63" s="32">
        <f>LOG(I63, 2)</f>
        <v>0.84926600153603438</v>
      </c>
      <c r="M63" s="32"/>
      <c r="N63" s="33"/>
    </row>
    <row r="64" spans="1:14" x14ac:dyDescent="0.3">
      <c r="C64"/>
      <c r="D64"/>
      <c r="E64"/>
      <c r="F64"/>
      <c r="G64"/>
      <c r="H64"/>
      <c r="I64"/>
    </row>
    <row r="65" spans="3:9" x14ac:dyDescent="0.3">
      <c r="C65"/>
      <c r="D65"/>
      <c r="E65"/>
      <c r="F65"/>
      <c r="G65"/>
      <c r="H65"/>
      <c r="I65"/>
    </row>
  </sheetData>
  <mergeCells count="24">
    <mergeCell ref="H38:I38"/>
    <mergeCell ref="H39:I41"/>
    <mergeCell ref="A1:B2"/>
    <mergeCell ref="C1:D2"/>
    <mergeCell ref="F1:G2"/>
    <mergeCell ref="H1:I2"/>
    <mergeCell ref="H34:I36"/>
    <mergeCell ref="H33:I33"/>
    <mergeCell ref="L59:N59"/>
    <mergeCell ref="L60:N60"/>
    <mergeCell ref="L62:N62"/>
    <mergeCell ref="L63:N63"/>
    <mergeCell ref="C62:E62"/>
    <mergeCell ref="F62:H62"/>
    <mergeCell ref="I62:K62"/>
    <mergeCell ref="C63:E63"/>
    <mergeCell ref="F63:H63"/>
    <mergeCell ref="I63:K63"/>
    <mergeCell ref="I59:K59"/>
    <mergeCell ref="I60:K60"/>
    <mergeCell ref="C59:E59"/>
    <mergeCell ref="C60:E60"/>
    <mergeCell ref="F59:H59"/>
    <mergeCell ref="F60:H60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73"/>
  <sheetViews>
    <sheetView tabSelected="1" zoomScale="58" zoomScaleNormal="145" workbookViewId="0">
      <selection activeCell="I34" sqref="G5:I34"/>
    </sheetView>
  </sheetViews>
  <sheetFormatPr defaultRowHeight="14.4" x14ac:dyDescent="0.3"/>
  <cols>
    <col min="1" max="3" width="14.44140625" bestFit="1" customWidth="1"/>
    <col min="4" max="4" width="9.109375" bestFit="1" customWidth="1"/>
    <col min="6" max="8" width="14.44140625" bestFit="1" customWidth="1"/>
    <col min="9" max="9" width="9" bestFit="1" customWidth="1"/>
  </cols>
  <sheetData>
    <row r="1" spans="1:9" ht="15" thickBot="1" x14ac:dyDescent="0.35">
      <c r="A1" s="2"/>
      <c r="B1" s="2"/>
      <c r="C1" s="2"/>
      <c r="D1" s="2"/>
      <c r="F1" s="2"/>
      <c r="G1" s="2"/>
      <c r="H1" s="2"/>
      <c r="I1" s="2"/>
    </row>
    <row r="2" spans="1:9" ht="15" customHeight="1" x14ac:dyDescent="0.3">
      <c r="A2" s="66" t="s">
        <v>15</v>
      </c>
      <c r="B2" s="67"/>
      <c r="C2" s="70" t="s">
        <v>16</v>
      </c>
      <c r="D2" s="71"/>
      <c r="E2" s="3"/>
      <c r="F2" s="66" t="s">
        <v>17</v>
      </c>
      <c r="G2" s="67"/>
      <c r="H2" s="70" t="s">
        <v>18</v>
      </c>
      <c r="I2" s="71"/>
    </row>
    <row r="3" spans="1:9" ht="15" thickBot="1" x14ac:dyDescent="0.35">
      <c r="A3" s="68"/>
      <c r="B3" s="69"/>
      <c r="C3" s="72"/>
      <c r="D3" s="73"/>
      <c r="E3" s="3"/>
      <c r="F3" s="68"/>
      <c r="G3" s="69"/>
      <c r="H3" s="72"/>
      <c r="I3" s="73"/>
    </row>
    <row r="4" spans="1:9" ht="16.2" thickBot="1" x14ac:dyDescent="0.35">
      <c r="A4" s="4" t="s">
        <v>0</v>
      </c>
      <c r="B4" s="5" t="s">
        <v>1</v>
      </c>
      <c r="C4" s="6" t="s">
        <v>1</v>
      </c>
      <c r="D4" s="7" t="s">
        <v>2</v>
      </c>
      <c r="F4" s="4" t="s">
        <v>0</v>
      </c>
      <c r="G4" s="5" t="s">
        <v>1</v>
      </c>
      <c r="H4" s="6" t="s">
        <v>1</v>
      </c>
      <c r="I4" s="7" t="s">
        <v>3</v>
      </c>
    </row>
    <row r="5" spans="1:9" x14ac:dyDescent="0.3">
      <c r="A5" s="114">
        <v>0.1</v>
      </c>
      <c r="B5" s="26">
        <v>0.01</v>
      </c>
      <c r="C5" s="26">
        <v>0.01</v>
      </c>
      <c r="D5" s="27">
        <v>0</v>
      </c>
      <c r="F5" s="91">
        <v>0.1</v>
      </c>
      <c r="G5" s="92">
        <v>0.01</v>
      </c>
      <c r="H5" s="92">
        <v>0.01</v>
      </c>
      <c r="I5" s="93">
        <v>0</v>
      </c>
    </row>
    <row r="6" spans="1:9" x14ac:dyDescent="0.3">
      <c r="A6" s="115">
        <v>0.2</v>
      </c>
      <c r="B6" s="28">
        <v>0.03</v>
      </c>
      <c r="C6" s="28">
        <v>3.9800000000000002E-2</v>
      </c>
      <c r="D6" s="29">
        <v>9.7999999999999997E-3</v>
      </c>
      <c r="F6" s="94">
        <v>0.3</v>
      </c>
      <c r="G6" s="95">
        <v>4.99E-2</v>
      </c>
      <c r="H6" s="95">
        <v>8.8700000000000001E-2</v>
      </c>
      <c r="I6" s="96">
        <v>3.8800000000000001E-2</v>
      </c>
    </row>
    <row r="7" spans="1:9" x14ac:dyDescent="0.3">
      <c r="A7" s="114">
        <v>0.3</v>
      </c>
      <c r="B7" s="26">
        <v>6.4500000000000002E-2</v>
      </c>
      <c r="C7" s="26">
        <v>8.8700000000000001E-2</v>
      </c>
      <c r="D7" s="27">
        <v>2.4199999999999999E-2</v>
      </c>
      <c r="F7" s="91">
        <v>0.5</v>
      </c>
      <c r="G7" s="92">
        <v>0.14050000000000001</v>
      </c>
      <c r="H7" s="92">
        <v>0.23980000000000001</v>
      </c>
      <c r="I7" s="93">
        <v>9.9299999999999999E-2</v>
      </c>
    </row>
    <row r="8" spans="1:9" x14ac:dyDescent="0.3">
      <c r="A8" s="115">
        <v>0.4</v>
      </c>
      <c r="B8" s="28">
        <v>0.1147</v>
      </c>
      <c r="C8" s="28">
        <v>0.15579999999999999</v>
      </c>
      <c r="D8" s="29">
        <v>4.1099999999999998E-2</v>
      </c>
      <c r="F8" s="94">
        <v>0.7</v>
      </c>
      <c r="G8" s="95">
        <v>0.28439999999999999</v>
      </c>
      <c r="H8" s="95">
        <v>0.4511</v>
      </c>
      <c r="I8" s="96">
        <v>0.1666</v>
      </c>
    </row>
    <row r="9" spans="1:9" x14ac:dyDescent="0.3">
      <c r="A9" s="114">
        <v>0.5</v>
      </c>
      <c r="B9" s="26">
        <v>0.1802</v>
      </c>
      <c r="C9" s="26">
        <v>0.23980000000000001</v>
      </c>
      <c r="D9" s="27">
        <v>5.96E-2</v>
      </c>
      <c r="F9" s="91">
        <v>0.9</v>
      </c>
      <c r="G9" s="92">
        <v>0.4728</v>
      </c>
      <c r="H9" s="92">
        <v>0.70509999999999995</v>
      </c>
      <c r="I9" s="93">
        <v>0.2324</v>
      </c>
    </row>
    <row r="10" spans="1:9" x14ac:dyDescent="0.3">
      <c r="A10" s="115">
        <v>0.6</v>
      </c>
      <c r="B10" s="28">
        <v>0.2601</v>
      </c>
      <c r="C10" s="28">
        <v>0.33889999999999998</v>
      </c>
      <c r="D10" s="29">
        <v>7.8799999999999995E-2</v>
      </c>
      <c r="F10" s="94">
        <v>1.1000000000000001</v>
      </c>
      <c r="G10" s="95">
        <v>0.68969999999999998</v>
      </c>
      <c r="H10" s="95">
        <v>0.98050000000000004</v>
      </c>
      <c r="I10" s="96">
        <v>0.2908</v>
      </c>
    </row>
    <row r="11" spans="1:9" x14ac:dyDescent="0.3">
      <c r="A11" s="114">
        <v>0.7</v>
      </c>
      <c r="B11" s="26">
        <v>0.35299999999999998</v>
      </c>
      <c r="C11" s="26">
        <v>0.4511</v>
      </c>
      <c r="D11" s="27">
        <v>9.8100000000000007E-2</v>
      </c>
      <c r="F11" s="91">
        <v>1.3</v>
      </c>
      <c r="G11" s="92">
        <v>0.91490000000000005</v>
      </c>
      <c r="H11" s="92" t="s">
        <v>27</v>
      </c>
      <c r="I11" s="93">
        <v>0.33789999999999998</v>
      </c>
    </row>
    <row r="12" spans="1:9" x14ac:dyDescent="0.3">
      <c r="A12" s="115">
        <v>0.8</v>
      </c>
      <c r="B12" s="28">
        <v>0.45700000000000002</v>
      </c>
      <c r="C12" s="28">
        <v>0.57399999999999995</v>
      </c>
      <c r="D12" s="29">
        <v>0.11700000000000001</v>
      </c>
      <c r="F12" s="94">
        <v>1.5</v>
      </c>
      <c r="G12" s="95">
        <v>1.1252</v>
      </c>
      <c r="H12" s="95" t="s">
        <v>30</v>
      </c>
      <c r="I12" s="96">
        <v>0.37119999999999997</v>
      </c>
    </row>
    <row r="13" spans="1:9" x14ac:dyDescent="0.3">
      <c r="A13" s="114">
        <v>0.9</v>
      </c>
      <c r="B13" s="26">
        <v>0.56979999999999997</v>
      </c>
      <c r="C13" s="26">
        <v>0.70509999999999995</v>
      </c>
      <c r="D13" s="27">
        <v>0.1353</v>
      </c>
      <c r="F13" s="91">
        <v>1.7</v>
      </c>
      <c r="G13" s="92" t="s">
        <v>52</v>
      </c>
      <c r="H13" s="92" t="s">
        <v>34</v>
      </c>
      <c r="I13" s="93">
        <v>0.3896</v>
      </c>
    </row>
    <row r="14" spans="1:9" x14ac:dyDescent="0.3">
      <c r="A14" s="115">
        <v>1</v>
      </c>
      <c r="B14" s="28">
        <v>0.68910000000000005</v>
      </c>
      <c r="C14" s="28">
        <v>0.84160000000000001</v>
      </c>
      <c r="D14" s="29">
        <v>0.1525</v>
      </c>
      <c r="F14" s="94">
        <v>1.9</v>
      </c>
      <c r="G14" s="95" t="s">
        <v>53</v>
      </c>
      <c r="H14" s="95" t="s">
        <v>38</v>
      </c>
      <c r="I14" s="96">
        <v>0.3931</v>
      </c>
    </row>
    <row r="15" spans="1:9" x14ac:dyDescent="0.3">
      <c r="A15" s="114">
        <v>1.1000000000000001</v>
      </c>
      <c r="B15" s="26">
        <v>0.81200000000000006</v>
      </c>
      <c r="C15" s="26">
        <v>0.98050000000000004</v>
      </c>
      <c r="D15" s="27">
        <v>0.16850000000000001</v>
      </c>
      <c r="F15" s="91">
        <v>2.1</v>
      </c>
      <c r="G15" s="92" t="s">
        <v>54</v>
      </c>
      <c r="H15" s="92" t="s">
        <v>42</v>
      </c>
      <c r="I15" s="93">
        <v>0.38279999999999997</v>
      </c>
    </row>
    <row r="16" spans="1:9" x14ac:dyDescent="0.3">
      <c r="A16" s="115">
        <v>1.2</v>
      </c>
      <c r="B16" s="28">
        <v>0.93579999999999997</v>
      </c>
      <c r="C16" s="28">
        <v>1.1186</v>
      </c>
      <c r="D16" s="29">
        <v>0.18290000000000001</v>
      </c>
      <c r="F16" s="94">
        <v>2.2999999999999998</v>
      </c>
      <c r="G16" s="95" t="s">
        <v>55</v>
      </c>
      <c r="H16" s="95" t="s">
        <v>46</v>
      </c>
      <c r="I16" s="96">
        <v>0.36099999999999999</v>
      </c>
    </row>
    <row r="17" spans="1:34" x14ac:dyDescent="0.3">
      <c r="A17" s="114">
        <v>1.3</v>
      </c>
      <c r="B17" s="95">
        <v>1.0571999999999999</v>
      </c>
      <c r="C17" s="95" t="s">
        <v>27</v>
      </c>
      <c r="D17" s="96">
        <v>0.1956</v>
      </c>
      <c r="F17" s="91">
        <v>2.5</v>
      </c>
      <c r="G17" s="92">
        <v>1.1657999999999999</v>
      </c>
      <c r="H17" s="92" t="s">
        <v>50</v>
      </c>
      <c r="I17" s="93">
        <v>0.33079999999999998</v>
      </c>
    </row>
    <row r="18" spans="1:34" x14ac:dyDescent="0.3">
      <c r="A18" s="115">
        <v>1.4</v>
      </c>
      <c r="B18" s="92">
        <v>1.1733</v>
      </c>
      <c r="C18" s="92" t="s">
        <v>28</v>
      </c>
      <c r="D18" s="93">
        <v>0.20649999999999999</v>
      </c>
      <c r="F18" s="94">
        <v>2.7</v>
      </c>
      <c r="G18" s="95">
        <v>0.85850000000000004</v>
      </c>
      <c r="H18" s="95">
        <v>1.1544000000000001</v>
      </c>
      <c r="I18" s="96">
        <v>0.2959</v>
      </c>
    </row>
    <row r="19" spans="1:34" x14ac:dyDescent="0.3">
      <c r="A19" s="114">
        <v>1.5</v>
      </c>
      <c r="B19" s="95" t="s">
        <v>29</v>
      </c>
      <c r="C19" s="95" t="s">
        <v>30</v>
      </c>
      <c r="D19" s="96">
        <v>0.21560000000000001</v>
      </c>
      <c r="F19" s="91">
        <v>2.9</v>
      </c>
      <c r="G19" s="92">
        <v>0.43380000000000002</v>
      </c>
      <c r="H19" s="92">
        <v>0.69430000000000003</v>
      </c>
      <c r="I19" s="93">
        <v>0.26050000000000001</v>
      </c>
    </row>
    <row r="20" spans="1:34" x14ac:dyDescent="0.3">
      <c r="A20" s="115">
        <v>1.6</v>
      </c>
      <c r="B20" s="92" t="s">
        <v>31</v>
      </c>
      <c r="C20" s="92" t="s">
        <v>32</v>
      </c>
      <c r="D20" s="93">
        <v>0.22270000000000001</v>
      </c>
      <c r="F20" s="94">
        <v>3.1</v>
      </c>
      <c r="G20" s="95">
        <v>-9.9400000000000002E-2</v>
      </c>
      <c r="H20" s="95">
        <v>0.12939999999999999</v>
      </c>
      <c r="I20" s="96">
        <v>0.2288</v>
      </c>
    </row>
    <row r="21" spans="1:34" x14ac:dyDescent="0.3">
      <c r="A21" s="114">
        <v>1.7</v>
      </c>
      <c r="B21" s="95" t="s">
        <v>33</v>
      </c>
      <c r="C21" s="95" t="s">
        <v>34</v>
      </c>
      <c r="D21" s="96">
        <v>0.2278</v>
      </c>
      <c r="F21" s="91">
        <v>3.3</v>
      </c>
      <c r="G21" s="92">
        <v>-0.72529999999999994</v>
      </c>
      <c r="H21" s="92">
        <v>-0.52</v>
      </c>
      <c r="I21" s="93">
        <v>0.20519999999999999</v>
      </c>
    </row>
    <row r="22" spans="1:34" x14ac:dyDescent="0.3">
      <c r="A22" s="115">
        <v>1.8</v>
      </c>
      <c r="B22" s="92" t="s">
        <v>35</v>
      </c>
      <c r="C22" s="92" t="s">
        <v>36</v>
      </c>
      <c r="D22" s="93">
        <v>0.23100000000000001</v>
      </c>
      <c r="F22" s="94">
        <v>3.5</v>
      </c>
      <c r="G22" s="95">
        <v>-1.421</v>
      </c>
      <c r="H22" s="95">
        <v>-1.2272000000000001</v>
      </c>
      <c r="I22" s="96">
        <v>0.1938</v>
      </c>
    </row>
    <row r="23" spans="1:34" x14ac:dyDescent="0.3">
      <c r="A23" s="114">
        <v>1.9</v>
      </c>
      <c r="B23" s="95" t="s">
        <v>37</v>
      </c>
      <c r="C23" s="95" t="s">
        <v>38</v>
      </c>
      <c r="D23" s="96">
        <v>0.2324</v>
      </c>
      <c r="F23" s="91">
        <v>3.7</v>
      </c>
      <c r="G23" s="92">
        <v>-2.1577000000000002</v>
      </c>
      <c r="H23" s="92">
        <v>-1.9598</v>
      </c>
      <c r="I23" s="93">
        <v>0.19789999999999999</v>
      </c>
    </row>
    <row r="24" spans="1:34" ht="14.4" customHeight="1" x14ac:dyDescent="0.3">
      <c r="A24" s="115">
        <v>2</v>
      </c>
      <c r="B24" s="92" t="s">
        <v>39</v>
      </c>
      <c r="C24" s="92" t="s">
        <v>40</v>
      </c>
      <c r="D24" s="93">
        <v>0.2321</v>
      </c>
      <c r="F24" s="94">
        <v>3.9</v>
      </c>
      <c r="G24" s="95">
        <v>-2.9018999999999999</v>
      </c>
      <c r="H24" s="95">
        <v>-2.6816</v>
      </c>
      <c r="I24" s="96">
        <v>0.2203</v>
      </c>
    </row>
    <row r="25" spans="1:34" ht="15" customHeight="1" x14ac:dyDescent="0.3">
      <c r="A25" s="114">
        <v>2.1</v>
      </c>
      <c r="B25" s="95" t="s">
        <v>41</v>
      </c>
      <c r="C25" s="95" t="s">
        <v>42</v>
      </c>
      <c r="D25" s="96">
        <v>0.2301</v>
      </c>
      <c r="F25" s="91">
        <v>4.0999999999999996</v>
      </c>
      <c r="G25" s="92">
        <v>-3.6168999999999998</v>
      </c>
      <c r="H25" s="92">
        <v>-3.3542999999999998</v>
      </c>
      <c r="I25" s="93">
        <v>0.26269999999999999</v>
      </c>
    </row>
    <row r="26" spans="1:34" ht="14.4" customHeight="1" x14ac:dyDescent="0.3">
      <c r="A26" s="115">
        <v>2.2000000000000002</v>
      </c>
      <c r="B26" s="92" t="s">
        <v>43</v>
      </c>
      <c r="C26" s="92" t="s">
        <v>44</v>
      </c>
      <c r="D26" s="93">
        <v>0.22670000000000001</v>
      </c>
      <c r="F26" s="94">
        <v>4.3</v>
      </c>
      <c r="G26" s="95">
        <v>-4.2647000000000004</v>
      </c>
      <c r="H26" s="95">
        <v>-3.9388000000000001</v>
      </c>
      <c r="I26" s="96">
        <v>0.32590000000000002</v>
      </c>
      <c r="AF26" s="116"/>
    </row>
    <row r="27" spans="1:34" x14ac:dyDescent="0.3">
      <c r="A27" s="114">
        <v>2.2999999999999998</v>
      </c>
      <c r="B27" s="95" t="s">
        <v>45</v>
      </c>
      <c r="C27" s="95" t="s">
        <v>46</v>
      </c>
      <c r="D27" s="96">
        <v>0.22209999999999999</v>
      </c>
      <c r="F27" s="91">
        <v>4.5</v>
      </c>
      <c r="G27" s="92">
        <v>-4.8078000000000003</v>
      </c>
      <c r="H27" s="92">
        <v>-4.3981000000000003</v>
      </c>
      <c r="I27" s="93">
        <v>0.40960000000000002</v>
      </c>
      <c r="AF27" s="116"/>
      <c r="AH27" s="116"/>
    </row>
    <row r="28" spans="1:34" x14ac:dyDescent="0.3">
      <c r="A28" s="115">
        <v>2.4</v>
      </c>
      <c r="B28" s="92" t="s">
        <v>47</v>
      </c>
      <c r="C28" s="92" t="s">
        <v>48</v>
      </c>
      <c r="D28" s="93">
        <v>0.21640000000000001</v>
      </c>
      <c r="F28" s="94">
        <v>4.7</v>
      </c>
      <c r="G28" s="95">
        <v>-5.2111999999999998</v>
      </c>
      <c r="H28" s="95">
        <v>-4.6989000000000001</v>
      </c>
      <c r="I28" s="96">
        <v>0.51229999999999998</v>
      </c>
      <c r="AF28" s="116"/>
      <c r="AH28" s="116"/>
    </row>
    <row r="29" spans="1:34" ht="14.4" customHeight="1" x14ac:dyDescent="0.3">
      <c r="A29" s="114">
        <v>2.5</v>
      </c>
      <c r="B29" s="95" t="s">
        <v>49</v>
      </c>
      <c r="C29" s="95" t="s">
        <v>50</v>
      </c>
      <c r="D29" s="96">
        <v>0.2099</v>
      </c>
      <c r="F29" s="91">
        <v>4.9000000000000004</v>
      </c>
      <c r="G29" s="92">
        <v>-5.4446000000000003</v>
      </c>
      <c r="H29" s="92">
        <v>-4.8132000000000001</v>
      </c>
      <c r="I29" s="93">
        <v>0.63139999999999996</v>
      </c>
      <c r="AF29" s="116"/>
      <c r="AG29" s="116"/>
      <c r="AH29" s="116"/>
    </row>
    <row r="30" spans="1:34" ht="15" customHeight="1" x14ac:dyDescent="0.3">
      <c r="A30" s="115">
        <v>2.6</v>
      </c>
      <c r="B30" s="92">
        <v>1.1377999999999999</v>
      </c>
      <c r="C30" s="92" t="s">
        <v>51</v>
      </c>
      <c r="D30" s="93">
        <v>0.2029</v>
      </c>
      <c r="F30" s="94">
        <v>5.0999999999999996</v>
      </c>
      <c r="G30" s="95">
        <v>-5.484</v>
      </c>
      <c r="H30" s="95">
        <v>-4.7207999999999997</v>
      </c>
      <c r="I30" s="96">
        <v>0.76319999999999999</v>
      </c>
      <c r="AF30" s="116"/>
      <c r="AG30" s="116"/>
      <c r="AH30" s="116"/>
    </row>
    <row r="31" spans="1:34" ht="15.75" customHeight="1" x14ac:dyDescent="0.3">
      <c r="A31" s="114">
        <v>2.7</v>
      </c>
      <c r="B31" s="95">
        <v>0.95879999999999999</v>
      </c>
      <c r="C31" s="95">
        <v>1.1544000000000001</v>
      </c>
      <c r="D31" s="96">
        <v>0.1956</v>
      </c>
      <c r="F31" s="91">
        <v>5.3</v>
      </c>
      <c r="G31" s="117">
        <v>-5.3135000000000003</v>
      </c>
      <c r="H31" s="117">
        <v>-4.4100999999999999</v>
      </c>
      <c r="I31" s="117">
        <v>0.90339999999999998</v>
      </c>
      <c r="AF31" s="116"/>
      <c r="AG31" s="116"/>
      <c r="AH31" s="116"/>
    </row>
    <row r="32" spans="1:34" ht="15.75" customHeight="1" x14ac:dyDescent="0.3">
      <c r="A32" s="115">
        <v>2.8</v>
      </c>
      <c r="B32" s="92">
        <v>0.75019999999999998</v>
      </c>
      <c r="C32" s="92">
        <v>0.93840000000000001</v>
      </c>
      <c r="D32" s="93">
        <v>0.18820000000000001</v>
      </c>
      <c r="F32" s="94">
        <v>5.5</v>
      </c>
      <c r="G32" s="117">
        <v>-4.9264000000000001</v>
      </c>
      <c r="H32" s="117">
        <v>-3.8795999999999999</v>
      </c>
      <c r="I32" s="117">
        <v>1.0468999999999999</v>
      </c>
      <c r="AF32" s="116"/>
      <c r="AG32" s="116"/>
      <c r="AH32" s="116"/>
    </row>
    <row r="33" spans="1:34" x14ac:dyDescent="0.3">
      <c r="A33" s="114">
        <v>2.9</v>
      </c>
      <c r="B33" s="95">
        <v>0.51319999999999999</v>
      </c>
      <c r="C33" s="95">
        <v>0.69430000000000003</v>
      </c>
      <c r="D33" s="96">
        <v>0.18110000000000001</v>
      </c>
      <c r="F33" s="91">
        <v>5.7</v>
      </c>
      <c r="G33" s="118">
        <v>-4.3259999999999996</v>
      </c>
      <c r="H33" s="118">
        <v>-3.1379999999999999</v>
      </c>
      <c r="I33" s="118">
        <v>1.1880999999999999</v>
      </c>
      <c r="AF33" s="116"/>
      <c r="AG33" s="116"/>
      <c r="AH33" s="116"/>
    </row>
    <row r="34" spans="1:34" x14ac:dyDescent="0.3">
      <c r="A34" s="115">
        <v>3</v>
      </c>
      <c r="B34" s="92">
        <v>0.24929999999999999</v>
      </c>
      <c r="C34" s="92">
        <v>0.4239</v>
      </c>
      <c r="D34" s="93">
        <v>0.17449999999999999</v>
      </c>
      <c r="F34" s="94">
        <v>5.9</v>
      </c>
      <c r="G34" s="117">
        <v>-3.5261999999999998</v>
      </c>
      <c r="H34" s="117">
        <v>-2.2048999999999999</v>
      </c>
      <c r="I34" s="117" t="s">
        <v>56</v>
      </c>
      <c r="AG34" s="116"/>
      <c r="AH34" s="116"/>
    </row>
    <row r="35" spans="1:34" x14ac:dyDescent="0.3">
      <c r="A35" s="114">
        <v>3.1</v>
      </c>
      <c r="B35" s="95">
        <v>-3.9399999999999998E-2</v>
      </c>
      <c r="C35" s="95">
        <v>0.12939999999999999</v>
      </c>
      <c r="D35" s="96">
        <v>0.16880000000000001</v>
      </c>
      <c r="AG35" s="116"/>
      <c r="AH35" s="116"/>
    </row>
    <row r="36" spans="1:34" ht="15.75" customHeight="1" x14ac:dyDescent="0.3">
      <c r="A36" s="115">
        <v>3.2</v>
      </c>
      <c r="B36" s="92">
        <v>-0.35039999999999999</v>
      </c>
      <c r="C36" s="92">
        <v>-0.18629999999999999</v>
      </c>
      <c r="D36" s="93">
        <v>0.1641</v>
      </c>
      <c r="AF36" s="116"/>
      <c r="AG36" s="116"/>
      <c r="AH36" s="116"/>
    </row>
    <row r="37" spans="1:34" ht="15.75" customHeight="1" x14ac:dyDescent="0.3">
      <c r="A37" s="114">
        <v>3.3</v>
      </c>
      <c r="B37" s="95">
        <v>-0.68079999999999996</v>
      </c>
      <c r="C37" s="95">
        <v>-0.52</v>
      </c>
      <c r="D37" s="96">
        <v>0.1608</v>
      </c>
      <c r="AF37" s="116"/>
      <c r="AG37" s="116"/>
      <c r="AH37" s="116"/>
    </row>
    <row r="38" spans="1:34" x14ac:dyDescent="0.3">
      <c r="A38" s="115">
        <v>3.4</v>
      </c>
      <c r="B38" s="92">
        <v>-1.0273000000000001</v>
      </c>
      <c r="C38" s="92">
        <v>-0.86829999999999996</v>
      </c>
      <c r="D38" s="93">
        <v>0.159</v>
      </c>
      <c r="AF38" s="116"/>
      <c r="AG38" s="116"/>
      <c r="AH38" s="116"/>
    </row>
    <row r="39" spans="1:34" ht="15" thickBot="1" x14ac:dyDescent="0.35">
      <c r="A39" s="114">
        <v>3.5</v>
      </c>
      <c r="B39" s="95">
        <v>-1.3862000000000001</v>
      </c>
      <c r="C39" s="95">
        <v>-1.2272000000000001</v>
      </c>
      <c r="D39" s="96">
        <v>0.159</v>
      </c>
      <c r="AF39" s="116"/>
      <c r="AG39" s="116"/>
      <c r="AH39" s="116"/>
    </row>
    <row r="40" spans="1:34" x14ac:dyDescent="0.3">
      <c r="A40" s="115">
        <v>3.6</v>
      </c>
      <c r="B40" s="92">
        <v>-1.7536</v>
      </c>
      <c r="C40" s="92">
        <v>-1.5925</v>
      </c>
      <c r="D40" s="93">
        <v>0.16109999999999999</v>
      </c>
      <c r="O40" s="61" t="s">
        <v>11</v>
      </c>
      <c r="P40" s="55"/>
      <c r="Q40" s="62"/>
      <c r="R40" s="63" t="s">
        <v>12</v>
      </c>
      <c r="S40" s="64"/>
      <c r="T40" s="65"/>
      <c r="U40" s="54" t="s">
        <v>8</v>
      </c>
      <c r="V40" s="55"/>
      <c r="W40" s="56"/>
      <c r="X40" s="30" t="s">
        <v>20</v>
      </c>
      <c r="Y40" s="30"/>
      <c r="Z40" s="31"/>
      <c r="AF40" s="116"/>
      <c r="AH40" s="116"/>
    </row>
    <row r="41" spans="1:34" ht="15" thickBot="1" x14ac:dyDescent="0.35">
      <c r="A41" s="114">
        <v>3.7</v>
      </c>
      <c r="B41" s="95">
        <v>-2.1251000000000002</v>
      </c>
      <c r="C41" s="95">
        <v>-1.9598</v>
      </c>
      <c r="D41" s="96">
        <v>0.1653</v>
      </c>
      <c r="O41" s="100">
        <f>MAX(D5:D41)</f>
        <v>0.2324</v>
      </c>
      <c r="P41" s="98"/>
      <c r="Q41" s="99"/>
      <c r="R41" s="97">
        <f>MAX(I5:I21)</f>
        <v>0.3931</v>
      </c>
      <c r="S41" s="98"/>
      <c r="T41" s="99"/>
      <c r="U41" s="59">
        <f>R41/O41</f>
        <v>1.6914802065404475</v>
      </c>
      <c r="V41" s="57"/>
      <c r="W41" s="60"/>
      <c r="X41" s="32">
        <f>LOG(U41, 2)</f>
        <v>0.75828629501956524</v>
      </c>
      <c r="Y41" s="32"/>
      <c r="Z41" s="33"/>
      <c r="AF41" s="116"/>
    </row>
    <row r="42" spans="1:34" ht="15" thickBot="1" x14ac:dyDescent="0.35">
      <c r="A42" s="115">
        <v>3.8</v>
      </c>
      <c r="B42" s="92">
        <v>-2.4963000000000002</v>
      </c>
      <c r="C42" s="92">
        <v>-2.3243999999999998</v>
      </c>
      <c r="D42" s="93">
        <v>0.1719</v>
      </c>
      <c r="O42" s="2"/>
      <c r="P42" s="2"/>
      <c r="Q42" s="2"/>
      <c r="R42" s="2"/>
      <c r="AF42" s="116"/>
    </row>
    <row r="43" spans="1:34" ht="23.4" x14ac:dyDescent="0.3">
      <c r="A43" s="114">
        <v>3.9</v>
      </c>
      <c r="B43" s="95">
        <v>-2.8626</v>
      </c>
      <c r="C43" s="95">
        <v>-2.6816</v>
      </c>
      <c r="D43" s="96">
        <v>0.18099999999999999</v>
      </c>
      <c r="F43" s="22" t="s">
        <v>4</v>
      </c>
      <c r="G43" s="23"/>
      <c r="H43" s="22"/>
      <c r="I43" s="23"/>
      <c r="O43" s="61" t="s">
        <v>13</v>
      </c>
      <c r="P43" s="55"/>
      <c r="Q43" s="62"/>
      <c r="R43" s="63" t="s">
        <v>14</v>
      </c>
      <c r="S43" s="64"/>
      <c r="T43" s="65"/>
      <c r="U43" s="54" t="s">
        <v>8</v>
      </c>
      <c r="V43" s="55"/>
      <c r="W43" s="56"/>
      <c r="X43" s="30" t="s">
        <v>20</v>
      </c>
      <c r="Y43" s="30"/>
      <c r="Z43" s="31"/>
      <c r="AF43" s="116"/>
    </row>
    <row r="44" spans="1:34" ht="24" thickBot="1" x14ac:dyDescent="0.35">
      <c r="A44" s="115">
        <v>4</v>
      </c>
      <c r="B44" s="92">
        <v>-3.2191000000000001</v>
      </c>
      <c r="C44" s="92">
        <v>-3.0265</v>
      </c>
      <c r="D44" s="93">
        <v>0.19259999999999999</v>
      </c>
      <c r="F44" s="24"/>
      <c r="G44" s="25"/>
      <c r="H44" s="24"/>
      <c r="I44" s="25"/>
      <c r="O44" s="38">
        <f>AVERAGE(D5:D37)</f>
        <v>0.16280909090909093</v>
      </c>
      <c r="P44" s="39"/>
      <c r="Q44" s="39"/>
      <c r="R44" s="59">
        <f>AVERAGE(I5:I21)</f>
        <v>0.25792352941176466</v>
      </c>
      <c r="S44" s="57"/>
      <c r="T44" s="58"/>
      <c r="U44" s="39">
        <f>R44/O44</f>
        <v>1.5842083999829197</v>
      </c>
      <c r="V44" s="39"/>
      <c r="W44" s="40"/>
      <c r="X44" s="32">
        <f>LOG(U44, 2)</f>
        <v>0.66376213203716095</v>
      </c>
      <c r="Y44" s="32"/>
      <c r="Z44" s="33"/>
    </row>
    <row r="45" spans="1:34" x14ac:dyDescent="0.3">
      <c r="A45" s="114">
        <v>4.0999999999999996</v>
      </c>
      <c r="B45" s="95">
        <v>-3.5609999999999999</v>
      </c>
      <c r="C45" s="95">
        <v>-3.3542999999999998</v>
      </c>
      <c r="D45" s="96">
        <v>0.20680000000000001</v>
      </c>
      <c r="F45" s="74" t="s">
        <v>25</v>
      </c>
      <c r="G45" s="75"/>
      <c r="H45" s="75"/>
      <c r="I45" s="76"/>
    </row>
    <row r="46" spans="1:34" x14ac:dyDescent="0.3">
      <c r="A46" s="115">
        <v>4.2</v>
      </c>
      <c r="B46" s="92">
        <v>-3.8835999999999999</v>
      </c>
      <c r="C46" s="92">
        <v>-3.6598999999999999</v>
      </c>
      <c r="D46" s="93">
        <v>0.22370000000000001</v>
      </c>
      <c r="F46" s="77"/>
      <c r="G46" s="78"/>
      <c r="H46" s="78"/>
      <c r="I46" s="79"/>
      <c r="AF46" s="116"/>
    </row>
    <row r="47" spans="1:34" x14ac:dyDescent="0.3">
      <c r="A47" s="114">
        <v>4.3</v>
      </c>
      <c r="B47" s="95">
        <v>-4.1818999999999997</v>
      </c>
      <c r="C47" s="95">
        <v>-3.9388000000000001</v>
      </c>
      <c r="D47" s="96">
        <v>0.24310000000000001</v>
      </c>
      <c r="F47" s="80"/>
      <c r="G47" s="81"/>
      <c r="H47" s="81"/>
      <c r="I47" s="82"/>
      <c r="AF47" s="116"/>
    </row>
    <row r="48" spans="1:34" x14ac:dyDescent="0.3">
      <c r="A48" s="115">
        <v>4.4000000000000004</v>
      </c>
      <c r="B48" s="92">
        <v>-4.4515000000000002</v>
      </c>
      <c r="C48" s="92">
        <v>-4.1863000000000001</v>
      </c>
      <c r="D48" s="93">
        <v>0.26519999999999999</v>
      </c>
      <c r="F48" s="83" t="s">
        <v>5</v>
      </c>
      <c r="G48" s="83"/>
      <c r="H48" s="83"/>
      <c r="I48" s="83"/>
      <c r="AF48" s="116"/>
    </row>
    <row r="49" spans="1:32" x14ac:dyDescent="0.3">
      <c r="A49" s="114">
        <v>4.5</v>
      </c>
      <c r="B49" s="95">
        <v>-4.6879</v>
      </c>
      <c r="C49" s="95">
        <v>-4.3981000000000003</v>
      </c>
      <c r="D49" s="96">
        <v>0.2898</v>
      </c>
      <c r="F49" s="84"/>
      <c r="G49" s="84"/>
      <c r="H49" s="84"/>
      <c r="I49" s="84"/>
      <c r="AF49" s="116"/>
    </row>
    <row r="50" spans="1:32" x14ac:dyDescent="0.3">
      <c r="A50" s="115">
        <v>4.5999999999999996</v>
      </c>
      <c r="B50" s="92">
        <v>-4.8869999999999996</v>
      </c>
      <c r="C50" s="92">
        <v>-4.5701999999999998</v>
      </c>
      <c r="D50" s="93">
        <v>0.31680000000000003</v>
      </c>
      <c r="F50" s="85" t="s">
        <v>26</v>
      </c>
      <c r="G50" s="86"/>
      <c r="H50" s="86"/>
      <c r="I50" s="87"/>
      <c r="AF50" s="116"/>
    </row>
    <row r="51" spans="1:32" x14ac:dyDescent="0.3">
      <c r="A51" s="114">
        <v>4.7</v>
      </c>
      <c r="B51" s="95">
        <v>-5.0448000000000004</v>
      </c>
      <c r="C51" s="95">
        <v>-4.6989000000000001</v>
      </c>
      <c r="D51" s="96">
        <v>0.34589999999999999</v>
      </c>
      <c r="F51" s="88"/>
      <c r="G51" s="89"/>
      <c r="H51" s="89"/>
      <c r="I51" s="90"/>
      <c r="AF51" s="116"/>
    </row>
    <row r="52" spans="1:32" x14ac:dyDescent="0.3">
      <c r="A52" s="115">
        <v>4.8</v>
      </c>
      <c r="B52" s="92">
        <v>-5.1580000000000004</v>
      </c>
      <c r="C52" s="92">
        <v>-4.7808000000000002</v>
      </c>
      <c r="D52" s="93">
        <v>0.37719999999999998</v>
      </c>
      <c r="AF52" s="116"/>
    </row>
    <row r="53" spans="1:32" x14ac:dyDescent="0.3">
      <c r="A53" s="114">
        <v>4.9000000000000004</v>
      </c>
      <c r="B53" s="95">
        <v>-5.2233999999999998</v>
      </c>
      <c r="C53" s="95">
        <v>-4.8132000000000001</v>
      </c>
      <c r="D53" s="96">
        <v>0.41020000000000001</v>
      </c>
      <c r="AF53" s="116"/>
    </row>
    <row r="54" spans="1:32" x14ac:dyDescent="0.3">
      <c r="A54" s="115">
        <v>5</v>
      </c>
      <c r="B54" s="92">
        <v>-5.2385999999999999</v>
      </c>
      <c r="C54" s="92">
        <v>-4.7938000000000001</v>
      </c>
      <c r="D54" s="93">
        <v>0.44479999999999997</v>
      </c>
    </row>
    <row r="55" spans="1:32" x14ac:dyDescent="0.3">
      <c r="A55" s="114">
        <v>5.0999999999999996</v>
      </c>
      <c r="B55" s="95">
        <v>-5.2016</v>
      </c>
      <c r="C55" s="95">
        <v>-4.7207999999999997</v>
      </c>
      <c r="D55" s="96">
        <v>0.48080000000000001</v>
      </c>
    </row>
    <row r="56" spans="1:32" x14ac:dyDescent="0.3">
      <c r="AF56" s="116"/>
    </row>
    <row r="57" spans="1:32" x14ac:dyDescent="0.3">
      <c r="AF57" s="116"/>
    </row>
    <row r="58" spans="1:32" x14ac:dyDescent="0.3">
      <c r="AF58" s="116"/>
    </row>
    <row r="59" spans="1:32" x14ac:dyDescent="0.3">
      <c r="AF59" s="116"/>
    </row>
    <row r="60" spans="1:32" x14ac:dyDescent="0.3">
      <c r="AF60" s="116"/>
    </row>
    <row r="61" spans="1:32" x14ac:dyDescent="0.3">
      <c r="AF61" s="116"/>
    </row>
    <row r="62" spans="1:32" x14ac:dyDescent="0.3">
      <c r="AF62" s="116"/>
    </row>
    <row r="63" spans="1:32" x14ac:dyDescent="0.3">
      <c r="AF63" s="116"/>
    </row>
    <row r="66" spans="32:32" x14ac:dyDescent="0.3">
      <c r="AF66" s="116"/>
    </row>
    <row r="67" spans="32:32" x14ac:dyDescent="0.3">
      <c r="AF67" s="116"/>
    </row>
    <row r="68" spans="32:32" x14ac:dyDescent="0.3">
      <c r="AF68" s="116"/>
    </row>
    <row r="69" spans="32:32" x14ac:dyDescent="0.3">
      <c r="AF69" s="116"/>
    </row>
    <row r="70" spans="32:32" x14ac:dyDescent="0.3">
      <c r="AF70" s="116"/>
    </row>
    <row r="71" spans="32:32" x14ac:dyDescent="0.3">
      <c r="AF71" s="116"/>
    </row>
    <row r="72" spans="32:32" x14ac:dyDescent="0.3">
      <c r="AF72" s="116"/>
    </row>
    <row r="73" spans="32:32" x14ac:dyDescent="0.3">
      <c r="AF73" s="116"/>
    </row>
  </sheetData>
  <mergeCells count="23">
    <mergeCell ref="R40:T40"/>
    <mergeCell ref="U40:W40"/>
    <mergeCell ref="F45:I47"/>
    <mergeCell ref="F48:I49"/>
    <mergeCell ref="F50:I51"/>
    <mergeCell ref="A2:B3"/>
    <mergeCell ref="C2:D3"/>
    <mergeCell ref="F2:G3"/>
    <mergeCell ref="H2:I3"/>
    <mergeCell ref="O40:Q40"/>
    <mergeCell ref="O41:Q41"/>
    <mergeCell ref="R41:T41"/>
    <mergeCell ref="U41:W41"/>
    <mergeCell ref="O44:Q44"/>
    <mergeCell ref="R44:T44"/>
    <mergeCell ref="U44:W44"/>
    <mergeCell ref="O43:Q43"/>
    <mergeCell ref="R43:T43"/>
    <mergeCell ref="X40:Z40"/>
    <mergeCell ref="X41:Z41"/>
    <mergeCell ref="X43:Z43"/>
    <mergeCell ref="X44:Z44"/>
    <mergeCell ref="U43:W43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EF1EA72-09E1-4DC4-BF2A-B4AD3CF865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63</vt:lpstr>
      <vt:lpstr>141</vt:lpstr>
    </vt:vector>
  </TitlesOfParts>
  <Manager/>
  <Company/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Даша Р</dc:creator>
  <cp:keywords/>
  <dc:description/>
  <cp:lastModifiedBy>admin</cp:lastModifiedBy>
  <cp:revision/>
  <dcterms:created xsi:type="dcterms:W3CDTF">2015-06-05T18:19:34Z</dcterms:created>
  <dcterms:modified xsi:type="dcterms:W3CDTF">2026-05-07T04:06:56Z</dcterms:modified>
  <cp:category/>
  <cp:contentStatus/>
</cp:coreProperties>
</file>